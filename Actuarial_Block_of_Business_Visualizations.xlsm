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nni\Documents\Actuary\Projects\"/>
    </mc:Choice>
  </mc:AlternateContent>
  <xr:revisionPtr revIDLastSave="0" documentId="13_ncr:1_{63CF09B3-8537-4281-9A2D-5575478460D4}" xr6:coauthVersionLast="47" xr6:coauthVersionMax="47" xr10:uidLastSave="{00000000-0000-0000-0000-000000000000}"/>
  <bookViews>
    <workbookView xWindow="-120" yWindow="-120" windowWidth="20730" windowHeight="11160" activeTab="2" xr2:uid="{DEF2D046-47D8-47A7-A088-BE1834AA0769}"/>
  </bookViews>
  <sheets>
    <sheet name="Illustration Calculator" sheetId="1" r:id="rId1"/>
    <sheet name="Plan Calculations" sheetId="2" r:id="rId2"/>
    <sheet name="Block of Business" sheetId="3" r:id="rId3"/>
    <sheet name="Summary" sheetId="4" r:id="rId4"/>
  </sheets>
  <definedNames>
    <definedName name="_xlnm._FilterDatabase" localSheetId="2" hidden="1">'Block of Business'!$A$1:$E$101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2" l="1"/>
  <c r="B6" i="2"/>
  <c r="C3" i="2" s="1"/>
  <c r="C4" i="2" s="1"/>
  <c r="B9" i="2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B14" i="1"/>
  <c r="H12" i="1"/>
  <c r="B11" i="1"/>
  <c r="D6" i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G3" i="2" l="1"/>
  <c r="G4" i="2"/>
  <c r="F33" i="2"/>
  <c r="F5" i="2"/>
  <c r="H3" i="2"/>
  <c r="J3" i="2"/>
  <c r="C5" i="2"/>
  <c r="G5" i="2" s="1"/>
  <c r="K4" i="2"/>
  <c r="I4" i="2"/>
  <c r="L4" i="2"/>
  <c r="J4" i="2"/>
  <c r="H4" i="2"/>
  <c r="F3" i="2"/>
  <c r="L3" i="2"/>
  <c r="F4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I3" i="2"/>
  <c r="K3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7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6" i="2"/>
  <c r="F7" i="2"/>
  <c r="F8" i="2"/>
  <c r="F7" i="1" l="1"/>
  <c r="F6" i="1"/>
  <c r="K5" i="2"/>
  <c r="I5" i="2"/>
  <c r="C6" i="2"/>
  <c r="G6" i="2" s="1"/>
  <c r="L5" i="2"/>
  <c r="J5" i="2"/>
  <c r="H5" i="2"/>
  <c r="F8" i="1" l="1"/>
  <c r="L6" i="2"/>
  <c r="J6" i="2"/>
  <c r="H6" i="2"/>
  <c r="C7" i="2"/>
  <c r="G7" i="2" s="1"/>
  <c r="K6" i="2"/>
  <c r="I6" i="2"/>
  <c r="F9" i="1" l="1"/>
  <c r="L7" i="2"/>
  <c r="J7" i="2"/>
  <c r="H7" i="2"/>
  <c r="C8" i="2"/>
  <c r="G8" i="2" s="1"/>
  <c r="K7" i="2"/>
  <c r="I7" i="2"/>
  <c r="F10" i="1" l="1"/>
  <c r="C9" i="2"/>
  <c r="G9" i="2" s="1"/>
  <c r="L8" i="2"/>
  <c r="J8" i="2"/>
  <c r="H8" i="2"/>
  <c r="K8" i="2"/>
  <c r="I8" i="2"/>
  <c r="F11" i="1" l="1"/>
  <c r="C10" i="2"/>
  <c r="G10" i="2" s="1"/>
  <c r="K9" i="2"/>
  <c r="I9" i="2"/>
  <c r="L9" i="2"/>
  <c r="J9" i="2"/>
  <c r="H9" i="2"/>
  <c r="F12" i="1" l="1"/>
  <c r="C11" i="2"/>
  <c r="G11" i="2" s="1"/>
  <c r="K10" i="2"/>
  <c r="I10" i="2"/>
  <c r="L10" i="2"/>
  <c r="J10" i="2"/>
  <c r="H10" i="2"/>
  <c r="F13" i="1" l="1"/>
  <c r="C12" i="2"/>
  <c r="G12" i="2" s="1"/>
  <c r="K11" i="2"/>
  <c r="I11" i="2"/>
  <c r="L11" i="2"/>
  <c r="J11" i="2"/>
  <c r="H11" i="2"/>
  <c r="F14" i="1" l="1"/>
  <c r="C13" i="2"/>
  <c r="G13" i="2" s="1"/>
  <c r="K12" i="2"/>
  <c r="I12" i="2"/>
  <c r="L12" i="2"/>
  <c r="J12" i="2"/>
  <c r="H12" i="2"/>
  <c r="F15" i="1" l="1"/>
  <c r="C14" i="2"/>
  <c r="G14" i="2" s="1"/>
  <c r="K13" i="2"/>
  <c r="I13" i="2"/>
  <c r="L13" i="2"/>
  <c r="J13" i="2"/>
  <c r="H13" i="2"/>
  <c r="F16" i="1" l="1"/>
  <c r="C15" i="2"/>
  <c r="G15" i="2" s="1"/>
  <c r="K14" i="2"/>
  <c r="I14" i="2"/>
  <c r="L14" i="2"/>
  <c r="J14" i="2"/>
  <c r="H14" i="2"/>
  <c r="F17" i="1" l="1"/>
  <c r="C16" i="2"/>
  <c r="G16" i="2" s="1"/>
  <c r="K15" i="2"/>
  <c r="I15" i="2"/>
  <c r="L15" i="2"/>
  <c r="J15" i="2"/>
  <c r="H15" i="2"/>
  <c r="F18" i="1" l="1"/>
  <c r="C17" i="2"/>
  <c r="G17" i="2" s="1"/>
  <c r="K16" i="2"/>
  <c r="I16" i="2"/>
  <c r="L16" i="2"/>
  <c r="J16" i="2"/>
  <c r="H16" i="2"/>
  <c r="F19" i="1" l="1"/>
  <c r="C18" i="2"/>
  <c r="G18" i="2" s="1"/>
  <c r="K17" i="2"/>
  <c r="I17" i="2"/>
  <c r="L17" i="2"/>
  <c r="J17" i="2"/>
  <c r="H17" i="2"/>
  <c r="F20" i="1" l="1"/>
  <c r="C19" i="2"/>
  <c r="G19" i="2" s="1"/>
  <c r="K18" i="2"/>
  <c r="I18" i="2"/>
  <c r="L18" i="2"/>
  <c r="J18" i="2"/>
  <c r="H18" i="2"/>
  <c r="F21" i="1" l="1"/>
  <c r="C20" i="2"/>
  <c r="G20" i="2" s="1"/>
  <c r="K19" i="2"/>
  <c r="I19" i="2"/>
  <c r="L19" i="2"/>
  <c r="J19" i="2"/>
  <c r="H19" i="2"/>
  <c r="F22" i="1" l="1"/>
  <c r="C21" i="2"/>
  <c r="G21" i="2" s="1"/>
  <c r="K20" i="2"/>
  <c r="I20" i="2"/>
  <c r="L20" i="2"/>
  <c r="J20" i="2"/>
  <c r="H20" i="2"/>
  <c r="F23" i="1" l="1"/>
  <c r="C22" i="2"/>
  <c r="G22" i="2" s="1"/>
  <c r="K21" i="2"/>
  <c r="I21" i="2"/>
  <c r="L21" i="2"/>
  <c r="J21" i="2"/>
  <c r="H21" i="2"/>
  <c r="F24" i="1" l="1"/>
  <c r="C23" i="2"/>
  <c r="G23" i="2" s="1"/>
  <c r="K22" i="2"/>
  <c r="I22" i="2"/>
  <c r="L22" i="2"/>
  <c r="J22" i="2"/>
  <c r="H22" i="2"/>
  <c r="F25" i="1" l="1"/>
  <c r="C24" i="2"/>
  <c r="G24" i="2" s="1"/>
  <c r="K23" i="2"/>
  <c r="I23" i="2"/>
  <c r="L23" i="2"/>
  <c r="J23" i="2"/>
  <c r="H23" i="2"/>
  <c r="F26" i="1" l="1"/>
  <c r="C25" i="2"/>
  <c r="G25" i="2" s="1"/>
  <c r="K24" i="2"/>
  <c r="I24" i="2"/>
  <c r="L24" i="2"/>
  <c r="J24" i="2"/>
  <c r="H24" i="2"/>
  <c r="F27" i="1" l="1"/>
  <c r="C26" i="2"/>
  <c r="G26" i="2" s="1"/>
  <c r="K25" i="2"/>
  <c r="I25" i="2"/>
  <c r="L25" i="2"/>
  <c r="J25" i="2"/>
  <c r="H25" i="2"/>
  <c r="F28" i="1" l="1"/>
  <c r="C27" i="2"/>
  <c r="G27" i="2" s="1"/>
  <c r="K26" i="2"/>
  <c r="I26" i="2"/>
  <c r="L26" i="2"/>
  <c r="J26" i="2"/>
  <c r="H26" i="2"/>
  <c r="F29" i="1" l="1"/>
  <c r="C28" i="2"/>
  <c r="G28" i="2" s="1"/>
  <c r="K27" i="2"/>
  <c r="I27" i="2"/>
  <c r="L27" i="2"/>
  <c r="J27" i="2"/>
  <c r="H27" i="2"/>
  <c r="F30" i="1" l="1"/>
  <c r="C29" i="2"/>
  <c r="G29" i="2" s="1"/>
  <c r="K28" i="2"/>
  <c r="I28" i="2"/>
  <c r="L28" i="2"/>
  <c r="J28" i="2"/>
  <c r="H28" i="2"/>
  <c r="F31" i="1" l="1"/>
  <c r="C30" i="2"/>
  <c r="G30" i="2" s="1"/>
  <c r="K29" i="2"/>
  <c r="I29" i="2"/>
  <c r="L29" i="2"/>
  <c r="J29" i="2"/>
  <c r="H29" i="2"/>
  <c r="F32" i="1" l="1"/>
  <c r="C31" i="2"/>
  <c r="G31" i="2" s="1"/>
  <c r="K30" i="2"/>
  <c r="I30" i="2"/>
  <c r="L30" i="2"/>
  <c r="J30" i="2"/>
  <c r="H30" i="2"/>
  <c r="F33" i="1" l="1"/>
  <c r="C32" i="2"/>
  <c r="G32" i="2" s="1"/>
  <c r="K31" i="2"/>
  <c r="I31" i="2"/>
  <c r="L31" i="2"/>
  <c r="J31" i="2"/>
  <c r="H31" i="2"/>
  <c r="F34" i="1" l="1"/>
  <c r="C33" i="2"/>
  <c r="G33" i="2" s="1"/>
  <c r="K32" i="2"/>
  <c r="I32" i="2"/>
  <c r="L32" i="2"/>
  <c r="J32" i="2"/>
  <c r="H32" i="2"/>
  <c r="F35" i="1" l="1"/>
  <c r="C34" i="2"/>
  <c r="G34" i="2" s="1"/>
  <c r="K33" i="2"/>
  <c r="I33" i="2"/>
  <c r="L33" i="2"/>
  <c r="J33" i="2"/>
  <c r="H33" i="2"/>
  <c r="F36" i="1" l="1"/>
  <c r="C35" i="2"/>
  <c r="G35" i="2" s="1"/>
  <c r="K34" i="2"/>
  <c r="I34" i="2"/>
  <c r="L34" i="2"/>
  <c r="J34" i="2"/>
  <c r="H34" i="2"/>
  <c r="F37" i="1" l="1"/>
  <c r="C36" i="2"/>
  <c r="G36" i="2" s="1"/>
  <c r="K35" i="2"/>
  <c r="I35" i="2"/>
  <c r="L35" i="2"/>
  <c r="J35" i="2"/>
  <c r="H35" i="2"/>
  <c r="F38" i="1" l="1"/>
  <c r="C37" i="2"/>
  <c r="G37" i="2" s="1"/>
  <c r="K36" i="2"/>
  <c r="I36" i="2"/>
  <c r="L36" i="2"/>
  <c r="J36" i="2"/>
  <c r="H36" i="2"/>
  <c r="F39" i="1" l="1"/>
  <c r="C38" i="2"/>
  <c r="G38" i="2" s="1"/>
  <c r="K37" i="2"/>
  <c r="I37" i="2"/>
  <c r="L37" i="2"/>
  <c r="J37" i="2"/>
  <c r="H37" i="2"/>
  <c r="F40" i="1" l="1"/>
  <c r="C39" i="2"/>
  <c r="G39" i="2" s="1"/>
  <c r="K38" i="2"/>
  <c r="I38" i="2"/>
  <c r="L38" i="2"/>
  <c r="J38" i="2"/>
  <c r="H38" i="2"/>
  <c r="F41" i="1" l="1"/>
  <c r="C40" i="2"/>
  <c r="G40" i="2" s="1"/>
  <c r="K39" i="2"/>
  <c r="I39" i="2"/>
  <c r="L39" i="2"/>
  <c r="J39" i="2"/>
  <c r="H39" i="2"/>
  <c r="F42" i="1" l="1"/>
  <c r="C41" i="2"/>
  <c r="G41" i="2" s="1"/>
  <c r="K40" i="2"/>
  <c r="I40" i="2"/>
  <c r="L40" i="2"/>
  <c r="J40" i="2"/>
  <c r="H40" i="2"/>
  <c r="F43" i="1" l="1"/>
  <c r="C42" i="2"/>
  <c r="G42" i="2" s="1"/>
  <c r="K41" i="2"/>
  <c r="I41" i="2"/>
  <c r="L41" i="2"/>
  <c r="J41" i="2"/>
  <c r="H41" i="2"/>
  <c r="F44" i="1" l="1"/>
  <c r="C43" i="2"/>
  <c r="G43" i="2" s="1"/>
  <c r="K42" i="2"/>
  <c r="I42" i="2"/>
  <c r="L42" i="2"/>
  <c r="J42" i="2"/>
  <c r="H42" i="2"/>
  <c r="F45" i="1" l="1"/>
  <c r="C44" i="2"/>
  <c r="G44" i="2" s="1"/>
  <c r="K43" i="2"/>
  <c r="I43" i="2"/>
  <c r="L43" i="2"/>
  <c r="J43" i="2"/>
  <c r="H43" i="2"/>
  <c r="F46" i="1" l="1"/>
  <c r="C45" i="2"/>
  <c r="G45" i="2" s="1"/>
  <c r="K44" i="2"/>
  <c r="I44" i="2"/>
  <c r="L44" i="2"/>
  <c r="J44" i="2"/>
  <c r="H44" i="2"/>
  <c r="F47" i="1" l="1"/>
  <c r="C46" i="2"/>
  <c r="G46" i="2" s="1"/>
  <c r="K45" i="2"/>
  <c r="I45" i="2"/>
  <c r="L45" i="2"/>
  <c r="J45" i="2"/>
  <c r="H45" i="2"/>
  <c r="F48" i="1" l="1"/>
  <c r="C47" i="2"/>
  <c r="G47" i="2" s="1"/>
  <c r="K46" i="2"/>
  <c r="I46" i="2"/>
  <c r="L46" i="2"/>
  <c r="J46" i="2"/>
  <c r="H46" i="2"/>
  <c r="F49" i="1" l="1"/>
  <c r="C48" i="2"/>
  <c r="G48" i="2" s="1"/>
  <c r="K47" i="2"/>
  <c r="I47" i="2"/>
  <c r="L47" i="2"/>
  <c r="J47" i="2"/>
  <c r="H47" i="2"/>
  <c r="F50" i="1" l="1"/>
  <c r="C49" i="2"/>
  <c r="G49" i="2" s="1"/>
  <c r="K48" i="2"/>
  <c r="I48" i="2"/>
  <c r="L48" i="2"/>
  <c r="J48" i="2"/>
  <c r="H48" i="2"/>
  <c r="F51" i="1" l="1"/>
  <c r="C50" i="2"/>
  <c r="G50" i="2" s="1"/>
  <c r="K49" i="2"/>
  <c r="I49" i="2"/>
  <c r="L49" i="2"/>
  <c r="J49" i="2"/>
  <c r="H49" i="2"/>
  <c r="F52" i="1" l="1"/>
  <c r="C51" i="2"/>
  <c r="G51" i="2" s="1"/>
  <c r="K50" i="2"/>
  <c r="I50" i="2"/>
  <c r="L50" i="2"/>
  <c r="J50" i="2"/>
  <c r="H50" i="2"/>
  <c r="F53" i="1" l="1"/>
  <c r="C52" i="2"/>
  <c r="G52" i="2" s="1"/>
  <c r="K51" i="2"/>
  <c r="I51" i="2"/>
  <c r="L51" i="2"/>
  <c r="J51" i="2"/>
  <c r="H51" i="2"/>
  <c r="F54" i="1" l="1"/>
  <c r="C53" i="2"/>
  <c r="G53" i="2" s="1"/>
  <c r="K52" i="2"/>
  <c r="I52" i="2"/>
  <c r="L52" i="2"/>
  <c r="J52" i="2"/>
  <c r="H52" i="2"/>
  <c r="F55" i="1" l="1"/>
  <c r="C54" i="2"/>
  <c r="G54" i="2" s="1"/>
  <c r="K53" i="2"/>
  <c r="I53" i="2"/>
  <c r="L53" i="2"/>
  <c r="J53" i="2"/>
  <c r="H53" i="2"/>
  <c r="F56" i="1" l="1"/>
  <c r="L54" i="2"/>
  <c r="C55" i="2"/>
  <c r="G55" i="2" s="1"/>
  <c r="K54" i="2"/>
  <c r="I54" i="2"/>
  <c r="J54" i="2"/>
  <c r="H54" i="2"/>
  <c r="F57" i="1" l="1"/>
  <c r="L55" i="2"/>
  <c r="J55" i="2"/>
  <c r="H55" i="2"/>
  <c r="C56" i="2"/>
  <c r="G56" i="2" s="1"/>
  <c r="K55" i="2"/>
  <c r="I55" i="2"/>
  <c r="F58" i="1" l="1"/>
  <c r="L56" i="2"/>
  <c r="J56" i="2"/>
  <c r="H56" i="2"/>
  <c r="C57" i="2"/>
  <c r="G57" i="2" s="1"/>
  <c r="K56" i="2"/>
  <c r="I56" i="2"/>
  <c r="F59" i="1" l="1"/>
  <c r="L57" i="2"/>
  <c r="J57" i="2"/>
  <c r="H57" i="2"/>
  <c r="C58" i="2"/>
  <c r="G58" i="2" s="1"/>
  <c r="K57" i="2"/>
  <c r="I57" i="2"/>
  <c r="F60" i="1" l="1"/>
  <c r="L58" i="2"/>
  <c r="J58" i="2"/>
  <c r="H58" i="2"/>
  <c r="C59" i="2"/>
  <c r="G59" i="2" s="1"/>
  <c r="K58" i="2"/>
  <c r="I58" i="2"/>
  <c r="F61" i="1" l="1"/>
  <c r="L59" i="2"/>
  <c r="J59" i="2"/>
  <c r="H59" i="2"/>
  <c r="C60" i="2"/>
  <c r="G60" i="2" s="1"/>
  <c r="K59" i="2"/>
  <c r="I59" i="2"/>
  <c r="F62" i="1" l="1"/>
  <c r="L60" i="2"/>
  <c r="J60" i="2"/>
  <c r="H60" i="2"/>
  <c r="C61" i="2"/>
  <c r="G61" i="2" s="1"/>
  <c r="K60" i="2"/>
  <c r="I60" i="2"/>
  <c r="F63" i="1" l="1"/>
  <c r="L61" i="2"/>
  <c r="J61" i="2"/>
  <c r="H61" i="2"/>
  <c r="C62" i="2"/>
  <c r="G62" i="2" s="1"/>
  <c r="K61" i="2"/>
  <c r="I61" i="2"/>
  <c r="F64" i="1" l="1"/>
  <c r="L62" i="2"/>
  <c r="J62" i="2"/>
  <c r="H62" i="2"/>
  <c r="C63" i="2"/>
  <c r="G63" i="2" s="1"/>
  <c r="K62" i="2"/>
  <c r="I62" i="2"/>
  <c r="F65" i="1" l="1"/>
  <c r="L63" i="2"/>
  <c r="J63" i="2"/>
  <c r="H63" i="2"/>
  <c r="C64" i="2"/>
  <c r="G64" i="2" s="1"/>
  <c r="K63" i="2"/>
  <c r="I63" i="2"/>
  <c r="F66" i="1" l="1"/>
  <c r="L64" i="2"/>
  <c r="J64" i="2"/>
  <c r="H64" i="2"/>
  <c r="C65" i="2"/>
  <c r="G65" i="2" s="1"/>
  <c r="K64" i="2"/>
  <c r="I64" i="2"/>
  <c r="F67" i="1" l="1"/>
  <c r="L65" i="2"/>
  <c r="J65" i="2"/>
  <c r="H65" i="2"/>
  <c r="C66" i="2"/>
  <c r="G66" i="2" s="1"/>
  <c r="K65" i="2"/>
  <c r="I65" i="2"/>
  <c r="F68" i="1" l="1"/>
  <c r="L66" i="2"/>
  <c r="J66" i="2"/>
  <c r="H66" i="2"/>
  <c r="C67" i="2"/>
  <c r="G67" i="2" s="1"/>
  <c r="K66" i="2"/>
  <c r="I66" i="2"/>
  <c r="F69" i="1" l="1"/>
  <c r="L67" i="2"/>
  <c r="J67" i="2"/>
  <c r="H67" i="2"/>
  <c r="C68" i="2"/>
  <c r="G68" i="2" s="1"/>
  <c r="K67" i="2"/>
  <c r="I67" i="2"/>
  <c r="F70" i="1" l="1"/>
  <c r="L68" i="2"/>
  <c r="J68" i="2"/>
  <c r="H68" i="2"/>
  <c r="C69" i="2"/>
  <c r="G69" i="2" s="1"/>
  <c r="K68" i="2"/>
  <c r="I68" i="2"/>
  <c r="F71" i="1" l="1"/>
  <c r="L69" i="2"/>
  <c r="J69" i="2"/>
  <c r="H69" i="2"/>
  <c r="C70" i="2"/>
  <c r="G70" i="2" s="1"/>
  <c r="K69" i="2"/>
  <c r="I69" i="2"/>
  <c r="F72" i="1" l="1"/>
  <c r="L70" i="2"/>
  <c r="J70" i="2"/>
  <c r="H70" i="2"/>
  <c r="C71" i="2"/>
  <c r="G71" i="2" s="1"/>
  <c r="K70" i="2"/>
  <c r="I70" i="2"/>
  <c r="F73" i="1" l="1"/>
  <c r="L71" i="2"/>
  <c r="J71" i="2"/>
  <c r="H71" i="2"/>
  <c r="C72" i="2"/>
  <c r="G72" i="2" s="1"/>
  <c r="K71" i="2"/>
  <c r="I71" i="2"/>
  <c r="F74" i="1" l="1"/>
  <c r="L72" i="2"/>
  <c r="J72" i="2"/>
  <c r="H72" i="2"/>
  <c r="C73" i="2"/>
  <c r="G73" i="2" s="1"/>
  <c r="K72" i="2"/>
  <c r="I72" i="2"/>
  <c r="F75" i="1" l="1"/>
  <c r="L73" i="2"/>
  <c r="J73" i="2"/>
  <c r="H73" i="2"/>
  <c r="C74" i="2"/>
  <c r="G74" i="2" s="1"/>
  <c r="K73" i="2"/>
  <c r="I73" i="2"/>
  <c r="F76" i="1" l="1"/>
  <c r="H6" i="1" s="1"/>
  <c r="C75" i="2"/>
  <c r="G75" i="2" s="1"/>
  <c r="K74" i="2"/>
  <c r="I74" i="2"/>
  <c r="L74" i="2"/>
  <c r="J74" i="2"/>
  <c r="H9" i="1" l="1"/>
  <c r="L75" i="2"/>
  <c r="J75" i="2"/>
  <c r="K75" i="2"/>
  <c r="I75" i="2"/>
</calcChain>
</file>

<file path=xl/sharedStrings.xml><?xml version="1.0" encoding="utf-8"?>
<sst xmlns="http://schemas.openxmlformats.org/spreadsheetml/2006/main" count="198" uniqueCount="195">
  <si>
    <t>Plan Number</t>
  </si>
  <si>
    <t>Current Age</t>
  </si>
  <si>
    <t>Age</t>
  </si>
  <si>
    <t xml:space="preserve">Year </t>
  </si>
  <si>
    <t>Expected annuity payment</t>
  </si>
  <si>
    <t>Plan #1</t>
  </si>
  <si>
    <t>Plan #2</t>
  </si>
  <si>
    <t>Plan #5</t>
  </si>
  <si>
    <t>Years of Payment</t>
  </si>
  <si>
    <t>Year 1</t>
  </si>
  <si>
    <t>Year 2</t>
  </si>
  <si>
    <t>Current Age of Client</t>
  </si>
  <si>
    <t>Year 3</t>
  </si>
  <si>
    <t>Year 4</t>
  </si>
  <si>
    <t>Year 5</t>
  </si>
  <si>
    <t>Age Payments begin</t>
  </si>
  <si>
    <t>Year 6</t>
  </si>
  <si>
    <t>Year 7</t>
  </si>
  <si>
    <t>Year 8</t>
  </si>
  <si>
    <t>Year 9</t>
  </si>
  <si>
    <t>Year 10</t>
  </si>
  <si>
    <t>Year 11</t>
  </si>
  <si>
    <t>Year 12</t>
  </si>
  <si>
    <t>Year 13</t>
  </si>
  <si>
    <t>Year 14</t>
  </si>
  <si>
    <t>Year 15</t>
  </si>
  <si>
    <t>Year 16</t>
  </si>
  <si>
    <t>Year 17</t>
  </si>
  <si>
    <t>Year 18</t>
  </si>
  <si>
    <t>Year 19</t>
  </si>
  <si>
    <t>Year 20</t>
  </si>
  <si>
    <t>Year 21</t>
  </si>
  <si>
    <t>Year 22</t>
  </si>
  <si>
    <t>Year 23</t>
  </si>
  <si>
    <t>Year 24</t>
  </si>
  <si>
    <t>Year 25</t>
  </si>
  <si>
    <t>Year 26</t>
  </si>
  <si>
    <t>Year 27</t>
  </si>
  <si>
    <t>Year 28</t>
  </si>
  <si>
    <t>Year 29</t>
  </si>
  <si>
    <t>Year 30</t>
  </si>
  <si>
    <t>Year 31</t>
  </si>
  <si>
    <t>Year 32</t>
  </si>
  <si>
    <t>Year 33</t>
  </si>
  <si>
    <t>Year 34</t>
  </si>
  <si>
    <t>Year 35</t>
  </si>
  <si>
    <t>Year 36</t>
  </si>
  <si>
    <t>Year 37</t>
  </si>
  <si>
    <t>Year 38</t>
  </si>
  <si>
    <t>Year 39</t>
  </si>
  <si>
    <t>Year 40</t>
  </si>
  <si>
    <t>Year 41</t>
  </si>
  <si>
    <t>Year 42</t>
  </si>
  <si>
    <t>Year 43</t>
  </si>
  <si>
    <t>Year 44</t>
  </si>
  <si>
    <t>Year 45</t>
  </si>
  <si>
    <t>Year 46</t>
  </si>
  <si>
    <t>Year 47</t>
  </si>
  <si>
    <t>Year 48</t>
  </si>
  <si>
    <t>Year 49</t>
  </si>
  <si>
    <t>Year 50</t>
  </si>
  <si>
    <t>Year 51</t>
  </si>
  <si>
    <t>Year 52</t>
  </si>
  <si>
    <t>Year 53</t>
  </si>
  <si>
    <t>Year 54</t>
  </si>
  <si>
    <t>Year 55</t>
  </si>
  <si>
    <t>Year 56</t>
  </si>
  <si>
    <t>Year 57</t>
  </si>
  <si>
    <t>Year 58</t>
  </si>
  <si>
    <t>Year 59</t>
  </si>
  <si>
    <t>Year 60</t>
  </si>
  <si>
    <t>Year 61</t>
  </si>
  <si>
    <t>Year 62</t>
  </si>
  <si>
    <t>Year 63</t>
  </si>
  <si>
    <t>Year 64</t>
  </si>
  <si>
    <t>Year 65</t>
  </si>
  <si>
    <t>Year 66</t>
  </si>
  <si>
    <t>Year 67</t>
  </si>
  <si>
    <t>Year 68</t>
  </si>
  <si>
    <t>Year 69</t>
  </si>
  <si>
    <t>Year 70</t>
  </si>
  <si>
    <t>Year 71</t>
  </si>
  <si>
    <t>Year 72</t>
  </si>
  <si>
    <t>Year 73</t>
  </si>
  <si>
    <t>Plan #3</t>
  </si>
  <si>
    <t>Plan #4</t>
  </si>
  <si>
    <t>Plan #6</t>
  </si>
  <si>
    <t>Plan #7</t>
  </si>
  <si>
    <t>Total Payment</t>
  </si>
  <si>
    <t>Total Years of Payment</t>
  </si>
  <si>
    <t>Age of Last Payment</t>
  </si>
  <si>
    <t>ILLUSTRATION TOOL</t>
  </si>
  <si>
    <t>Client # 100</t>
  </si>
  <si>
    <t>Client # 99</t>
  </si>
  <si>
    <t>Client # 98</t>
  </si>
  <si>
    <t>Client # 97</t>
  </si>
  <si>
    <t>Client # 96</t>
  </si>
  <si>
    <t>Client # 95</t>
  </si>
  <si>
    <t>Client # 94</t>
  </si>
  <si>
    <t>Client # 93</t>
  </si>
  <si>
    <t>Client # 92</t>
  </si>
  <si>
    <t>Client # 91</t>
  </si>
  <si>
    <t>Client # 90</t>
  </si>
  <si>
    <t>Client # 89</t>
  </si>
  <si>
    <t>Client # 88</t>
  </si>
  <si>
    <t>Client # 87</t>
  </si>
  <si>
    <t>Client # 86</t>
  </si>
  <si>
    <t>Client # 85</t>
  </si>
  <si>
    <t>Client # 84</t>
  </si>
  <si>
    <t>Client # 83</t>
  </si>
  <si>
    <t>Client # 82</t>
  </si>
  <si>
    <t>Client # 81</t>
  </si>
  <si>
    <t>Client # 80</t>
  </si>
  <si>
    <t>Client # 79</t>
  </si>
  <si>
    <t>Client # 78</t>
  </si>
  <si>
    <t>Client # 77</t>
  </si>
  <si>
    <t>Client # 76</t>
  </si>
  <si>
    <t>Client # 75</t>
  </si>
  <si>
    <t>Client # 74</t>
  </si>
  <si>
    <t>Client # 73</t>
  </si>
  <si>
    <t>Client # 72</t>
  </si>
  <si>
    <t>Client # 71</t>
  </si>
  <si>
    <t>Client # 70</t>
  </si>
  <si>
    <t>Client # 69</t>
  </si>
  <si>
    <t>Client # 68</t>
  </si>
  <si>
    <t>Client # 67</t>
  </si>
  <si>
    <t>Client # 66</t>
  </si>
  <si>
    <t>Client # 65</t>
  </si>
  <si>
    <t>Client # 64</t>
  </si>
  <si>
    <t>Client # 63</t>
  </si>
  <si>
    <t>Client # 62</t>
  </si>
  <si>
    <t>Client # 61</t>
  </si>
  <si>
    <t>Client # 60</t>
  </si>
  <si>
    <t>Client # 59</t>
  </si>
  <si>
    <t>Client # 58</t>
  </si>
  <si>
    <t>Client # 57</t>
  </si>
  <si>
    <t>Client # 56</t>
  </si>
  <si>
    <t>Client # 55</t>
  </si>
  <si>
    <t>Client # 54</t>
  </si>
  <si>
    <t>Client # 53</t>
  </si>
  <si>
    <t>Client # 52</t>
  </si>
  <si>
    <t>Client # 51</t>
  </si>
  <si>
    <t>Client # 50</t>
  </si>
  <si>
    <t>Client # 49</t>
  </si>
  <si>
    <t>Client # 48</t>
  </si>
  <si>
    <t>Client # 47</t>
  </si>
  <si>
    <t>Client # 46</t>
  </si>
  <si>
    <t>Client # 45</t>
  </si>
  <si>
    <t>Client # 44</t>
  </si>
  <si>
    <t>Client # 43</t>
  </si>
  <si>
    <t>Client # 42</t>
  </si>
  <si>
    <t>Client # 41</t>
  </si>
  <si>
    <t>Client # 40</t>
  </si>
  <si>
    <t>Client # 39</t>
  </si>
  <si>
    <t>Client # 38</t>
  </si>
  <si>
    <t>Client # 37</t>
  </si>
  <si>
    <t>Client # 36</t>
  </si>
  <si>
    <t>Client # 35</t>
  </si>
  <si>
    <t>Client # 34</t>
  </si>
  <si>
    <t>Client # 33</t>
  </si>
  <si>
    <t>Client # 32</t>
  </si>
  <si>
    <t>Client # 31</t>
  </si>
  <si>
    <t>Client # 30</t>
  </si>
  <si>
    <t>Client # 29</t>
  </si>
  <si>
    <t>Client # 28</t>
  </si>
  <si>
    <t>Client # 27</t>
  </si>
  <si>
    <t>Client # 26</t>
  </si>
  <si>
    <t>Client # 25</t>
  </si>
  <si>
    <t>Client # 24</t>
  </si>
  <si>
    <t>Client # 23</t>
  </si>
  <si>
    <t>Client # 22</t>
  </si>
  <si>
    <t>Client # 21</t>
  </si>
  <si>
    <t>Client # 20</t>
  </si>
  <si>
    <t>Client # 19</t>
  </si>
  <si>
    <t>Client # 18</t>
  </si>
  <si>
    <t>Client # 17</t>
  </si>
  <si>
    <t>Client # 16</t>
  </si>
  <si>
    <t>Client # 15</t>
  </si>
  <si>
    <t>Client # 14</t>
  </si>
  <si>
    <t>Client # 13</t>
  </si>
  <si>
    <t>Client # 12</t>
  </si>
  <si>
    <t>Client # 11</t>
  </si>
  <si>
    <t>Client # 10</t>
  </si>
  <si>
    <t>Client # 9</t>
  </si>
  <si>
    <t>Client # 8</t>
  </si>
  <si>
    <t>Client # 7</t>
  </si>
  <si>
    <t>Client # 6</t>
  </si>
  <si>
    <t>Client # 5</t>
  </si>
  <si>
    <t>Client # 4</t>
  </si>
  <si>
    <t>Client # 3</t>
  </si>
  <si>
    <t>Client # 2</t>
  </si>
  <si>
    <t>Client # 1</t>
  </si>
  <si>
    <t>Age Payments Begin</t>
  </si>
  <si>
    <t>Plan #</t>
  </si>
  <si>
    <t>Client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</si>
</sst>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_([$$-409]* #,##0.00_);_([$$-409]* \(#,##0.00\);_([$$-409]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05C7E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2" fillId="2" borderId="1" xfId="0" applyFont="1" applyFill="1" applyBorder="1"/>
    <xf numFmtId="165" fontId="0" fillId="0" borderId="0" xfId="0" applyNumberForma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4" fillId="0" borderId="1" xfId="0" applyFont="1" applyBorder="1"/>
    <xf numFmtId="0" fontId="2" fillId="4" borderId="1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0510B-FFB0-4EB2-80BA-3E01FE10A32B}">
  <sheetPr codeName="Sheet1"/>
  <dimension ref="B2:J105"/>
  <sheetViews>
    <sheetView workbookViewId="0">
      <selection activeCell="F6" sqref="F6"/>
    </sheetView>
  </sheetViews>
  <sheetFormatPr defaultRowHeight="15" x14ac:dyDescent="0.25"/>
  <cols>
    <col min="2" max="2" width="19.28515625" bestFit="1" customWidth="1"/>
    <col min="6" max="6" width="25" style="3" bestFit="1" customWidth="1"/>
    <col min="9" max="9" width="14" customWidth="1"/>
  </cols>
  <sheetData>
    <row r="2" spans="2:10" ht="26.25" x14ac:dyDescent="0.4">
      <c r="B2" s="8" t="s">
        <v>91</v>
      </c>
      <c r="C2" s="8"/>
      <c r="D2" s="8"/>
      <c r="E2" s="8"/>
      <c r="F2" s="8"/>
      <c r="G2" s="8"/>
      <c r="H2" s="8"/>
      <c r="I2" s="8"/>
      <c r="J2" s="8"/>
    </row>
    <row r="3" spans="2:10" x14ac:dyDescent="0.25">
      <c r="B3" s="9"/>
      <c r="C3" s="9"/>
      <c r="D3" s="9"/>
      <c r="E3" s="9"/>
      <c r="F3" s="9"/>
      <c r="G3" s="9"/>
      <c r="H3" s="9"/>
      <c r="I3" s="9"/>
      <c r="J3" s="9"/>
    </row>
    <row r="5" spans="2:10" x14ac:dyDescent="0.25">
      <c r="B5" s="2" t="s">
        <v>0</v>
      </c>
      <c r="D5" t="s">
        <v>2</v>
      </c>
      <c r="E5" t="s">
        <v>3</v>
      </c>
      <c r="F5" s="3" t="s">
        <v>4</v>
      </c>
      <c r="H5" s="6" t="s">
        <v>88</v>
      </c>
      <c r="I5" s="7"/>
    </row>
    <row r="6" spans="2:10" x14ac:dyDescent="0.25">
      <c r="B6" s="1" t="s">
        <v>84</v>
      </c>
      <c r="D6">
        <f>B9</f>
        <v>61</v>
      </c>
      <c r="E6">
        <v>1</v>
      </c>
      <c r="F6" s="3">
        <f>_xlfn.IFNA(IF(E6="", "",HLOOKUP($B$6, 'Plan Calculations'!$F$2:$L$75, E6+1, FALSE)), "Something is wrong")</f>
        <v>0</v>
      </c>
      <c r="H6" s="10">
        <f>SUM(F6:F105)</f>
        <v>446400</v>
      </c>
      <c r="I6" s="11"/>
    </row>
    <row r="7" spans="2:10" x14ac:dyDescent="0.25">
      <c r="D7">
        <f>IF(E7="", "", D6+1)</f>
        <v>62</v>
      </c>
      <c r="E7">
        <v>2</v>
      </c>
      <c r="F7" s="3">
        <f>_xlfn.IFNA(IF(E7="", "",HLOOKUP($B$6, 'Plan Calculations'!$F$2:$L$75, E7+1, FALSE)), "Something is wrong")</f>
        <v>0</v>
      </c>
    </row>
    <row r="8" spans="2:10" x14ac:dyDescent="0.25">
      <c r="B8" s="2" t="s">
        <v>1</v>
      </c>
      <c r="D8">
        <f t="shared" ref="D8:D71" si="0">IF(E8="", "", D7+1)</f>
        <v>63</v>
      </c>
      <c r="E8">
        <v>3</v>
      </c>
      <c r="F8" s="3">
        <f>_xlfn.IFNA(IF(E8="", "",HLOOKUP($B$6, 'Plan Calculations'!$F$2:$L$75, E8+1, FALSE)), "Something is wrong")</f>
        <v>0</v>
      </c>
      <c r="H8" s="6" t="s">
        <v>89</v>
      </c>
      <c r="I8" s="7"/>
    </row>
    <row r="9" spans="2:10" x14ac:dyDescent="0.25">
      <c r="B9" s="1">
        <v>61</v>
      </c>
      <c r="D9">
        <f t="shared" si="0"/>
        <v>64</v>
      </c>
      <c r="E9">
        <v>4</v>
      </c>
      <c r="F9" s="3">
        <f>_xlfn.IFNA(IF(E9="", "",HLOOKUP($B$6, 'Plan Calculations'!$F$2:$L$75, E9+1, FALSE)), "Something is wrong")</f>
        <v>0</v>
      </c>
      <c r="H9" s="4">
        <f>COUNTIF(F6:F105, "&gt;0")</f>
        <v>62</v>
      </c>
      <c r="I9" s="5"/>
    </row>
    <row r="10" spans="2:10" x14ac:dyDescent="0.25">
      <c r="D10">
        <f t="shared" si="0"/>
        <v>65</v>
      </c>
      <c r="E10">
        <v>5</v>
      </c>
      <c r="F10" s="3">
        <f>_xlfn.IFNA(IF(E10="", "",HLOOKUP($B$6, 'Plan Calculations'!$F$2:$L$75, E10+1, FALSE)), "Something is wrong")</f>
        <v>0</v>
      </c>
    </row>
    <row r="11" spans="2:10" x14ac:dyDescent="0.25">
      <c r="B11" s="2" t="str">
        <f>IF(OR(B6="Plan #1", B6="Plan #3", B6="Plan #5", B6="Plan #6", B6="plan #7"), "Age Payments Begin", "")</f>
        <v>Age Payments Begin</v>
      </c>
      <c r="D11">
        <f t="shared" si="0"/>
        <v>66</v>
      </c>
      <c r="E11">
        <v>6</v>
      </c>
      <c r="F11" s="3">
        <f>_xlfn.IFNA(IF(E11="", "",HLOOKUP($B$6, 'Plan Calculations'!$F$2:$L$75, E11+1, FALSE)), "Something is wrong")</f>
        <v>0</v>
      </c>
      <c r="H11" s="6" t="s">
        <v>90</v>
      </c>
      <c r="I11" s="7"/>
    </row>
    <row r="12" spans="2:10" x14ac:dyDescent="0.25">
      <c r="B12" s="1">
        <v>70</v>
      </c>
      <c r="D12">
        <f t="shared" si="0"/>
        <v>67</v>
      </c>
      <c r="E12">
        <v>7</v>
      </c>
      <c r="F12" s="3">
        <f>_xlfn.IFNA(IF(E12="", "",HLOOKUP($B$6, 'Plan Calculations'!$F$2:$L$75, E12+1, FALSE)), "Something is wrong")</f>
        <v>0</v>
      </c>
      <c r="H12" s="4">
        <f>IF(OR(B6="Plan #1", B6="plan #5", B6="plan #6", B6="plan #7"), B12+B15-1, IF(B6="Plan #2", 94, IF(B6="Plan #3", 110, 100)))</f>
        <v>110</v>
      </c>
      <c r="I12" s="5"/>
    </row>
    <row r="13" spans="2:10" x14ac:dyDescent="0.25">
      <c r="D13">
        <f t="shared" si="0"/>
        <v>68</v>
      </c>
      <c r="E13">
        <v>8</v>
      </c>
      <c r="F13" s="3">
        <f>_xlfn.IFNA(IF(E13="", "",HLOOKUP($B$6, 'Plan Calculations'!$F$2:$L$75, E13+1, FALSE)), "Something is wrong")</f>
        <v>0</v>
      </c>
    </row>
    <row r="14" spans="2:10" x14ac:dyDescent="0.25">
      <c r="B14" s="2" t="str">
        <f>IF(OR(B6="Plan #1", B6="Plan #5", B6="Plan #6", B6="plan #7"), "Years of Payment", "")</f>
        <v/>
      </c>
      <c r="D14">
        <f t="shared" si="0"/>
        <v>69</v>
      </c>
      <c r="E14">
        <v>9</v>
      </c>
      <c r="F14" s="3">
        <f>_xlfn.IFNA(IF(E14="", "",HLOOKUP($B$6, 'Plan Calculations'!$F$2:$L$75, E14+1, FALSE)), "Something is wrong")</f>
        <v>0</v>
      </c>
    </row>
    <row r="15" spans="2:10" x14ac:dyDescent="0.25">
      <c r="B15" s="1"/>
      <c r="D15">
        <f t="shared" si="0"/>
        <v>70</v>
      </c>
      <c r="E15">
        <v>10</v>
      </c>
      <c r="F15" s="3">
        <f>_xlfn.IFNA(IF(E15="", "",HLOOKUP($B$6, 'Plan Calculations'!$F$2:$L$75, E15+1, FALSE)), "Something is wrong")</f>
        <v>7200</v>
      </c>
    </row>
    <row r="16" spans="2:10" x14ac:dyDescent="0.25">
      <c r="D16">
        <f t="shared" si="0"/>
        <v>71</v>
      </c>
      <c r="E16">
        <v>11</v>
      </c>
      <c r="F16" s="3">
        <f>_xlfn.IFNA(IF(E16="", "",HLOOKUP($B$6, 'Plan Calculations'!$F$2:$L$75, E16+1, FALSE)), "Something is wrong")</f>
        <v>7200</v>
      </c>
    </row>
    <row r="17" spans="4:6" x14ac:dyDescent="0.25">
      <c r="D17">
        <f t="shared" si="0"/>
        <v>72</v>
      </c>
      <c r="E17">
        <v>12</v>
      </c>
      <c r="F17" s="3">
        <f>_xlfn.IFNA(IF(E17="", "",HLOOKUP($B$6, 'Plan Calculations'!$F$2:$L$75, E17+1, FALSE)), "Something is wrong")</f>
        <v>7200</v>
      </c>
    </row>
    <row r="18" spans="4:6" x14ac:dyDescent="0.25">
      <c r="D18">
        <f t="shared" si="0"/>
        <v>73</v>
      </c>
      <c r="E18">
        <v>13</v>
      </c>
      <c r="F18" s="3">
        <f>_xlfn.IFNA(IF(E18="", "",HLOOKUP($B$6, 'Plan Calculations'!$F$2:$L$75, E18+1, FALSE)), "Something is wrong")</f>
        <v>7200</v>
      </c>
    </row>
    <row r="19" spans="4:6" x14ac:dyDescent="0.25">
      <c r="D19">
        <f t="shared" si="0"/>
        <v>74</v>
      </c>
      <c r="E19">
        <v>14</v>
      </c>
      <c r="F19" s="3">
        <f>_xlfn.IFNA(IF(E19="", "",HLOOKUP($B$6, 'Plan Calculations'!$F$2:$L$75, E19+1, FALSE)), "Something is wrong")</f>
        <v>7200</v>
      </c>
    </row>
    <row r="20" spans="4:6" x14ac:dyDescent="0.25">
      <c r="D20">
        <f t="shared" si="0"/>
        <v>75</v>
      </c>
      <c r="E20">
        <v>15</v>
      </c>
      <c r="F20" s="3">
        <f>_xlfn.IFNA(IF(E20="", "",HLOOKUP($B$6, 'Plan Calculations'!$F$2:$L$75, E20+1, FALSE)), "Something is wrong")</f>
        <v>7200</v>
      </c>
    </row>
    <row r="21" spans="4:6" x14ac:dyDescent="0.25">
      <c r="D21">
        <f t="shared" si="0"/>
        <v>76</v>
      </c>
      <c r="E21">
        <v>16</v>
      </c>
      <c r="F21" s="3">
        <f>_xlfn.IFNA(IF(E21="", "",HLOOKUP($B$6, 'Plan Calculations'!$F$2:$L$75, E21+1, FALSE)), "Something is wrong")</f>
        <v>7200</v>
      </c>
    </row>
    <row r="22" spans="4:6" x14ac:dyDescent="0.25">
      <c r="D22">
        <f t="shared" si="0"/>
        <v>77</v>
      </c>
      <c r="E22">
        <v>17</v>
      </c>
      <c r="F22" s="3">
        <f>_xlfn.IFNA(IF(E22="", "",HLOOKUP($B$6, 'Plan Calculations'!$F$2:$L$75, E22+1, FALSE)), "Something is wrong")</f>
        <v>7200</v>
      </c>
    </row>
    <row r="23" spans="4:6" x14ac:dyDescent="0.25">
      <c r="D23">
        <f t="shared" si="0"/>
        <v>78</v>
      </c>
      <c r="E23">
        <v>18</v>
      </c>
      <c r="F23" s="3">
        <f>_xlfn.IFNA(IF(E23="", "",HLOOKUP($B$6, 'Plan Calculations'!$F$2:$L$75, E23+1, FALSE)), "Something is wrong")</f>
        <v>7200</v>
      </c>
    </row>
    <row r="24" spans="4:6" x14ac:dyDescent="0.25">
      <c r="D24">
        <f t="shared" si="0"/>
        <v>79</v>
      </c>
      <c r="E24">
        <v>19</v>
      </c>
      <c r="F24" s="3">
        <f>_xlfn.IFNA(IF(E24="", "",HLOOKUP($B$6, 'Plan Calculations'!$F$2:$L$75, E24+1, FALSE)), "Something is wrong")</f>
        <v>7200</v>
      </c>
    </row>
    <row r="25" spans="4:6" x14ac:dyDescent="0.25">
      <c r="D25">
        <f t="shared" si="0"/>
        <v>80</v>
      </c>
      <c r="E25">
        <v>20</v>
      </c>
      <c r="F25" s="3">
        <f>_xlfn.IFNA(IF(E25="", "",HLOOKUP($B$6, 'Plan Calculations'!$F$2:$L$75, E25+1, FALSE)), "Something is wrong")</f>
        <v>7200</v>
      </c>
    </row>
    <row r="26" spans="4:6" x14ac:dyDescent="0.25">
      <c r="D26">
        <f t="shared" si="0"/>
        <v>81</v>
      </c>
      <c r="E26">
        <v>21</v>
      </c>
      <c r="F26" s="3">
        <f>_xlfn.IFNA(IF(E26="", "",HLOOKUP($B$6, 'Plan Calculations'!$F$2:$L$75, E26+1, FALSE)), "Something is wrong")</f>
        <v>7200</v>
      </c>
    </row>
    <row r="27" spans="4:6" x14ac:dyDescent="0.25">
      <c r="D27">
        <f t="shared" si="0"/>
        <v>82</v>
      </c>
      <c r="E27">
        <v>22</v>
      </c>
      <c r="F27" s="3">
        <f>_xlfn.IFNA(IF(E27="", "",HLOOKUP($B$6, 'Plan Calculations'!$F$2:$L$75, E27+1, FALSE)), "Something is wrong")</f>
        <v>7200</v>
      </c>
    </row>
    <row r="28" spans="4:6" x14ac:dyDescent="0.25">
      <c r="D28">
        <f t="shared" si="0"/>
        <v>83</v>
      </c>
      <c r="E28">
        <v>23</v>
      </c>
      <c r="F28" s="3">
        <f>_xlfn.IFNA(IF(E28="", "",HLOOKUP($B$6, 'Plan Calculations'!$F$2:$L$75, E28+1, FALSE)), "Something is wrong")</f>
        <v>7200</v>
      </c>
    </row>
    <row r="29" spans="4:6" x14ac:dyDescent="0.25">
      <c r="D29">
        <f t="shared" si="0"/>
        <v>84</v>
      </c>
      <c r="E29">
        <v>24</v>
      </c>
      <c r="F29" s="3">
        <f>_xlfn.IFNA(IF(E29="", "",HLOOKUP($B$6, 'Plan Calculations'!$F$2:$L$75, E29+1, FALSE)), "Something is wrong")</f>
        <v>7200</v>
      </c>
    </row>
    <row r="30" spans="4:6" x14ac:dyDescent="0.25">
      <c r="D30">
        <f t="shared" si="0"/>
        <v>85</v>
      </c>
      <c r="E30">
        <v>25</v>
      </c>
      <c r="F30" s="3">
        <f>_xlfn.IFNA(IF(E30="", "",HLOOKUP($B$6, 'Plan Calculations'!$F$2:$L$75, E30+1, FALSE)), "Something is wrong")</f>
        <v>7200</v>
      </c>
    </row>
    <row r="31" spans="4:6" x14ac:dyDescent="0.25">
      <c r="D31">
        <f t="shared" si="0"/>
        <v>86</v>
      </c>
      <c r="E31">
        <v>26</v>
      </c>
      <c r="F31" s="3">
        <f>_xlfn.IFNA(IF(E31="", "",HLOOKUP($B$6, 'Plan Calculations'!$F$2:$L$75, E31+1, FALSE)), "Something is wrong")</f>
        <v>7200</v>
      </c>
    </row>
    <row r="32" spans="4:6" x14ac:dyDescent="0.25">
      <c r="D32">
        <f t="shared" si="0"/>
        <v>87</v>
      </c>
      <c r="E32">
        <v>27</v>
      </c>
      <c r="F32" s="3">
        <f>_xlfn.IFNA(IF(E32="", "",HLOOKUP($B$6, 'Plan Calculations'!$F$2:$L$75, E32+1, FALSE)), "Something is wrong")</f>
        <v>7200</v>
      </c>
    </row>
    <row r="33" spans="4:6" x14ac:dyDescent="0.25">
      <c r="D33">
        <f t="shared" si="0"/>
        <v>88</v>
      </c>
      <c r="E33">
        <v>28</v>
      </c>
      <c r="F33" s="3">
        <f>_xlfn.IFNA(IF(E33="", "",HLOOKUP($B$6, 'Plan Calculations'!$F$2:$L$75, E33+1, FALSE)), "Something is wrong")</f>
        <v>7200</v>
      </c>
    </row>
    <row r="34" spans="4:6" x14ac:dyDescent="0.25">
      <c r="D34">
        <f t="shared" si="0"/>
        <v>89</v>
      </c>
      <c r="E34">
        <v>29</v>
      </c>
      <c r="F34" s="3">
        <f>_xlfn.IFNA(IF(E34="", "",HLOOKUP($B$6, 'Plan Calculations'!$F$2:$L$75, E34+1, FALSE)), "Something is wrong")</f>
        <v>7200</v>
      </c>
    </row>
    <row r="35" spans="4:6" x14ac:dyDescent="0.25">
      <c r="D35">
        <f t="shared" si="0"/>
        <v>90</v>
      </c>
      <c r="E35">
        <v>30</v>
      </c>
      <c r="F35" s="3">
        <f>_xlfn.IFNA(IF(E35="", "",HLOOKUP($B$6, 'Plan Calculations'!$F$2:$L$75, E35+1, FALSE)), "Something is wrong")</f>
        <v>7200</v>
      </c>
    </row>
    <row r="36" spans="4:6" x14ac:dyDescent="0.25">
      <c r="D36">
        <f t="shared" si="0"/>
        <v>91</v>
      </c>
      <c r="E36">
        <v>31</v>
      </c>
      <c r="F36" s="3">
        <f>_xlfn.IFNA(IF(E36="", "",HLOOKUP($B$6, 'Plan Calculations'!$F$2:$L$75, E36+1, FALSE)), "Something is wrong")</f>
        <v>7200</v>
      </c>
    </row>
    <row r="37" spans="4:6" x14ac:dyDescent="0.25">
      <c r="D37">
        <f t="shared" si="0"/>
        <v>92</v>
      </c>
      <c r="E37">
        <v>32</v>
      </c>
      <c r="F37" s="3">
        <f>_xlfn.IFNA(IF(E37="", "",HLOOKUP($B$6, 'Plan Calculations'!$F$2:$L$75, E37+1, FALSE)), "Something is wrong")</f>
        <v>7200</v>
      </c>
    </row>
    <row r="38" spans="4:6" x14ac:dyDescent="0.25">
      <c r="D38">
        <f t="shared" si="0"/>
        <v>93</v>
      </c>
      <c r="E38">
        <v>33</v>
      </c>
      <c r="F38" s="3">
        <f>_xlfn.IFNA(IF(E38="", "",HLOOKUP($B$6, 'Plan Calculations'!$F$2:$L$75, E38+1, FALSE)), "Something is wrong")</f>
        <v>7200</v>
      </c>
    </row>
    <row r="39" spans="4:6" x14ac:dyDescent="0.25">
      <c r="D39">
        <f t="shared" si="0"/>
        <v>94</v>
      </c>
      <c r="E39">
        <v>34</v>
      </c>
      <c r="F39" s="3">
        <f>_xlfn.IFNA(IF(E39="", "",HLOOKUP($B$6, 'Plan Calculations'!$F$2:$L$75, E39+1, FALSE)), "Something is wrong")</f>
        <v>7200</v>
      </c>
    </row>
    <row r="40" spans="4:6" x14ac:dyDescent="0.25">
      <c r="D40">
        <f t="shared" si="0"/>
        <v>95</v>
      </c>
      <c r="E40">
        <v>35</v>
      </c>
      <c r="F40" s="3">
        <f>_xlfn.IFNA(IF(E40="", "",HLOOKUP($B$6, 'Plan Calculations'!$F$2:$L$75, E40+1, FALSE)), "Something is wrong")</f>
        <v>7200</v>
      </c>
    </row>
    <row r="41" spans="4:6" x14ac:dyDescent="0.25">
      <c r="D41">
        <f t="shared" si="0"/>
        <v>96</v>
      </c>
      <c r="E41">
        <v>36</v>
      </c>
      <c r="F41" s="3">
        <f>_xlfn.IFNA(IF(E41="", "",HLOOKUP($B$6, 'Plan Calculations'!$F$2:$L$75, E41+1, FALSE)), "Something is wrong")</f>
        <v>7200</v>
      </c>
    </row>
    <row r="42" spans="4:6" x14ac:dyDescent="0.25">
      <c r="D42">
        <f t="shared" si="0"/>
        <v>97</v>
      </c>
      <c r="E42">
        <v>37</v>
      </c>
      <c r="F42" s="3">
        <f>_xlfn.IFNA(IF(E42="", "",HLOOKUP($B$6, 'Plan Calculations'!$F$2:$L$75, E42+1, FALSE)), "Something is wrong")</f>
        <v>7200</v>
      </c>
    </row>
    <row r="43" spans="4:6" x14ac:dyDescent="0.25">
      <c r="D43">
        <f t="shared" si="0"/>
        <v>98</v>
      </c>
      <c r="E43">
        <v>38</v>
      </c>
      <c r="F43" s="3">
        <f>_xlfn.IFNA(IF(E43="", "",HLOOKUP($B$6, 'Plan Calculations'!$F$2:$L$75, E43+1, FALSE)), "Something is wrong")</f>
        <v>7200</v>
      </c>
    </row>
    <row r="44" spans="4:6" x14ac:dyDescent="0.25">
      <c r="D44">
        <f t="shared" si="0"/>
        <v>99</v>
      </c>
      <c r="E44">
        <v>39</v>
      </c>
      <c r="F44" s="3">
        <f>_xlfn.IFNA(IF(E44="", "",HLOOKUP($B$6, 'Plan Calculations'!$F$2:$L$75, E44+1, FALSE)), "Something is wrong")</f>
        <v>7200</v>
      </c>
    </row>
    <row r="45" spans="4:6" x14ac:dyDescent="0.25">
      <c r="D45">
        <f t="shared" si="0"/>
        <v>100</v>
      </c>
      <c r="E45">
        <v>40</v>
      </c>
      <c r="F45" s="3">
        <f>_xlfn.IFNA(IF(E45="", "",HLOOKUP($B$6, 'Plan Calculations'!$F$2:$L$75, E45+1, FALSE)), "Something is wrong")</f>
        <v>7200</v>
      </c>
    </row>
    <row r="46" spans="4:6" x14ac:dyDescent="0.25">
      <c r="D46">
        <f t="shared" si="0"/>
        <v>101</v>
      </c>
      <c r="E46">
        <v>41</v>
      </c>
      <c r="F46" s="3">
        <f>_xlfn.IFNA(IF(E46="", "",HLOOKUP($B$6, 'Plan Calculations'!$F$2:$L$75, E46+1, FALSE)), "Something is wrong")</f>
        <v>7200</v>
      </c>
    </row>
    <row r="47" spans="4:6" x14ac:dyDescent="0.25">
      <c r="D47">
        <f t="shared" si="0"/>
        <v>102</v>
      </c>
      <c r="E47">
        <v>42</v>
      </c>
      <c r="F47" s="3">
        <f>_xlfn.IFNA(IF(E47="", "",HLOOKUP($B$6, 'Plan Calculations'!$F$2:$L$75, E47+1, FALSE)), "Something is wrong")</f>
        <v>7200</v>
      </c>
    </row>
    <row r="48" spans="4:6" x14ac:dyDescent="0.25">
      <c r="D48">
        <f t="shared" si="0"/>
        <v>103</v>
      </c>
      <c r="E48">
        <v>43</v>
      </c>
      <c r="F48" s="3">
        <f>_xlfn.IFNA(IF(E48="", "",HLOOKUP($B$6, 'Plan Calculations'!$F$2:$L$75, E48+1, FALSE)), "Something is wrong")</f>
        <v>7200</v>
      </c>
    </row>
    <row r="49" spans="4:6" x14ac:dyDescent="0.25">
      <c r="D49">
        <f t="shared" si="0"/>
        <v>104</v>
      </c>
      <c r="E49">
        <v>44</v>
      </c>
      <c r="F49" s="3">
        <f>_xlfn.IFNA(IF(E49="", "",HLOOKUP($B$6, 'Plan Calculations'!$F$2:$L$75, E49+1, FALSE)), "Something is wrong")</f>
        <v>7200</v>
      </c>
    </row>
    <row r="50" spans="4:6" x14ac:dyDescent="0.25">
      <c r="D50">
        <f t="shared" si="0"/>
        <v>105</v>
      </c>
      <c r="E50">
        <v>45</v>
      </c>
      <c r="F50" s="3">
        <f>_xlfn.IFNA(IF(E50="", "",HLOOKUP($B$6, 'Plan Calculations'!$F$2:$L$75, E50+1, FALSE)), "Something is wrong")</f>
        <v>7200</v>
      </c>
    </row>
    <row r="51" spans="4:6" x14ac:dyDescent="0.25">
      <c r="D51">
        <f t="shared" si="0"/>
        <v>106</v>
      </c>
      <c r="E51">
        <v>46</v>
      </c>
      <c r="F51" s="3">
        <f>_xlfn.IFNA(IF(E51="", "",HLOOKUP($B$6, 'Plan Calculations'!$F$2:$L$75, E51+1, FALSE)), "Something is wrong")</f>
        <v>7200</v>
      </c>
    </row>
    <row r="52" spans="4:6" x14ac:dyDescent="0.25">
      <c r="D52">
        <f t="shared" si="0"/>
        <v>107</v>
      </c>
      <c r="E52">
        <v>47</v>
      </c>
      <c r="F52" s="3">
        <f>_xlfn.IFNA(IF(E52="", "",HLOOKUP($B$6, 'Plan Calculations'!$F$2:$L$75, E52+1, FALSE)), "Something is wrong")</f>
        <v>7200</v>
      </c>
    </row>
    <row r="53" spans="4:6" x14ac:dyDescent="0.25">
      <c r="D53">
        <f t="shared" si="0"/>
        <v>108</v>
      </c>
      <c r="E53">
        <v>48</v>
      </c>
      <c r="F53" s="3">
        <f>_xlfn.IFNA(IF(E53="", "",HLOOKUP($B$6, 'Plan Calculations'!$F$2:$L$75, E53+1, FALSE)), "Something is wrong")</f>
        <v>7200</v>
      </c>
    </row>
    <row r="54" spans="4:6" x14ac:dyDescent="0.25">
      <c r="D54">
        <f t="shared" si="0"/>
        <v>109</v>
      </c>
      <c r="E54">
        <v>49</v>
      </c>
      <c r="F54" s="3">
        <f>_xlfn.IFNA(IF(E54="", "",HLOOKUP($B$6, 'Plan Calculations'!$F$2:$L$75, E54+1, FALSE)), "Something is wrong")</f>
        <v>7200</v>
      </c>
    </row>
    <row r="55" spans="4:6" x14ac:dyDescent="0.25">
      <c r="D55">
        <f t="shared" si="0"/>
        <v>110</v>
      </c>
      <c r="E55">
        <v>50</v>
      </c>
      <c r="F55" s="3">
        <f>_xlfn.IFNA(IF(E55="", "",HLOOKUP($B$6, 'Plan Calculations'!$F$2:$L$75, E55+1, FALSE)), "Something is wrong")</f>
        <v>7200</v>
      </c>
    </row>
    <row r="56" spans="4:6" x14ac:dyDescent="0.25">
      <c r="D56">
        <f t="shared" si="0"/>
        <v>111</v>
      </c>
      <c r="E56">
        <v>51</v>
      </c>
      <c r="F56" s="3">
        <f>_xlfn.IFNA(IF(E56="", "",HLOOKUP($B$6, 'Plan Calculations'!$F$2:$L$75, E56+1, FALSE)), "Something is wrong")</f>
        <v>7200</v>
      </c>
    </row>
    <row r="57" spans="4:6" x14ac:dyDescent="0.25">
      <c r="D57">
        <f t="shared" si="0"/>
        <v>112</v>
      </c>
      <c r="E57">
        <v>52</v>
      </c>
      <c r="F57" s="3">
        <f>_xlfn.IFNA(IF(E57="", "",HLOOKUP($B$6, 'Plan Calculations'!$F$2:$L$75, E57+1, FALSE)), "Something is wrong")</f>
        <v>7200</v>
      </c>
    </row>
    <row r="58" spans="4:6" x14ac:dyDescent="0.25">
      <c r="D58">
        <f t="shared" si="0"/>
        <v>113</v>
      </c>
      <c r="E58">
        <v>53</v>
      </c>
      <c r="F58" s="3">
        <f>_xlfn.IFNA(IF(E58="", "",HLOOKUP($B$6, 'Plan Calculations'!$F$2:$L$75, E58+1, FALSE)), "Something is wrong")</f>
        <v>7200</v>
      </c>
    </row>
    <row r="59" spans="4:6" x14ac:dyDescent="0.25">
      <c r="D59">
        <f t="shared" si="0"/>
        <v>114</v>
      </c>
      <c r="E59">
        <v>54</v>
      </c>
      <c r="F59" s="3">
        <f>_xlfn.IFNA(IF(E59="", "",HLOOKUP($B$6, 'Plan Calculations'!$F$2:$L$75, E59+1, FALSE)), "Something is wrong")</f>
        <v>7200</v>
      </c>
    </row>
    <row r="60" spans="4:6" x14ac:dyDescent="0.25">
      <c r="D60">
        <f t="shared" si="0"/>
        <v>115</v>
      </c>
      <c r="E60">
        <v>55</v>
      </c>
      <c r="F60" s="3">
        <f>_xlfn.IFNA(IF(E60="", "",HLOOKUP($B$6, 'Plan Calculations'!$F$2:$L$75, E60+1, FALSE)), "Something is wrong")</f>
        <v>7200</v>
      </c>
    </row>
    <row r="61" spans="4:6" x14ac:dyDescent="0.25">
      <c r="D61">
        <f t="shared" si="0"/>
        <v>116</v>
      </c>
      <c r="E61">
        <v>56</v>
      </c>
      <c r="F61" s="3">
        <f>_xlfn.IFNA(IF(E61="", "",HLOOKUP($B$6, 'Plan Calculations'!$F$2:$L$75, E61+1, FALSE)), "Something is wrong")</f>
        <v>7200</v>
      </c>
    </row>
    <row r="62" spans="4:6" x14ac:dyDescent="0.25">
      <c r="D62">
        <f t="shared" si="0"/>
        <v>117</v>
      </c>
      <c r="E62">
        <v>57</v>
      </c>
      <c r="F62" s="3">
        <f>_xlfn.IFNA(IF(E62="", "",HLOOKUP($B$6, 'Plan Calculations'!$F$2:$L$75, E62+1, FALSE)), "Something is wrong")</f>
        <v>7200</v>
      </c>
    </row>
    <row r="63" spans="4:6" x14ac:dyDescent="0.25">
      <c r="D63">
        <f t="shared" si="0"/>
        <v>118</v>
      </c>
      <c r="E63">
        <v>58</v>
      </c>
      <c r="F63" s="3">
        <f>_xlfn.IFNA(IF(E63="", "",HLOOKUP($B$6, 'Plan Calculations'!$F$2:$L$75, E63+1, FALSE)), "Something is wrong")</f>
        <v>7200</v>
      </c>
    </row>
    <row r="64" spans="4:6" x14ac:dyDescent="0.25">
      <c r="D64">
        <f t="shared" si="0"/>
        <v>119</v>
      </c>
      <c r="E64">
        <v>59</v>
      </c>
      <c r="F64" s="3">
        <f>_xlfn.IFNA(IF(E64="", "",HLOOKUP($B$6, 'Plan Calculations'!$F$2:$L$75, E64+1, FALSE)), "Something is wrong")</f>
        <v>7200</v>
      </c>
    </row>
    <row r="65" spans="4:6" x14ac:dyDescent="0.25">
      <c r="D65">
        <f t="shared" si="0"/>
        <v>120</v>
      </c>
      <c r="E65">
        <v>60</v>
      </c>
      <c r="F65" s="3">
        <f>_xlfn.IFNA(IF(E65="", "",HLOOKUP($B$6, 'Plan Calculations'!$F$2:$L$75, E65+1, FALSE)), "Something is wrong")</f>
        <v>7200</v>
      </c>
    </row>
    <row r="66" spans="4:6" x14ac:dyDescent="0.25">
      <c r="D66">
        <f t="shared" si="0"/>
        <v>121</v>
      </c>
      <c r="E66">
        <v>61</v>
      </c>
      <c r="F66" s="3">
        <f>_xlfn.IFNA(IF(E66="", "",HLOOKUP($B$6, 'Plan Calculations'!$F$2:$L$75, E66+1, FALSE)), "Something is wrong")</f>
        <v>7200</v>
      </c>
    </row>
    <row r="67" spans="4:6" x14ac:dyDescent="0.25">
      <c r="D67">
        <f t="shared" si="0"/>
        <v>122</v>
      </c>
      <c r="E67">
        <v>62</v>
      </c>
      <c r="F67" s="3">
        <f>_xlfn.IFNA(IF(E67="", "",HLOOKUP($B$6, 'Plan Calculations'!$F$2:$L$75, E67+1, FALSE)), "Something is wrong")</f>
        <v>7200</v>
      </c>
    </row>
    <row r="68" spans="4:6" x14ac:dyDescent="0.25">
      <c r="D68">
        <f t="shared" si="0"/>
        <v>123</v>
      </c>
      <c r="E68">
        <v>63</v>
      </c>
      <c r="F68" s="3">
        <f>_xlfn.IFNA(IF(E68="", "",HLOOKUP($B$6, 'Plan Calculations'!$F$2:$L$75, E68+1, FALSE)), "Something is wrong")</f>
        <v>7200</v>
      </c>
    </row>
    <row r="69" spans="4:6" x14ac:dyDescent="0.25">
      <c r="D69">
        <f t="shared" si="0"/>
        <v>124</v>
      </c>
      <c r="E69">
        <v>64</v>
      </c>
      <c r="F69" s="3">
        <f>_xlfn.IFNA(IF(E69="", "",HLOOKUP($B$6, 'Plan Calculations'!$F$2:$L$75, E69+1, FALSE)), "Something is wrong")</f>
        <v>7200</v>
      </c>
    </row>
    <row r="70" spans="4:6" x14ac:dyDescent="0.25">
      <c r="D70">
        <f t="shared" si="0"/>
        <v>125</v>
      </c>
      <c r="E70">
        <v>65</v>
      </c>
      <c r="F70" s="3">
        <f>_xlfn.IFNA(IF(E70="", "",HLOOKUP($B$6, 'Plan Calculations'!$F$2:$L$75, E70+1, FALSE)), "Something is wrong")</f>
        <v>7200</v>
      </c>
    </row>
    <row r="71" spans="4:6" x14ac:dyDescent="0.25">
      <c r="D71">
        <f t="shared" si="0"/>
        <v>126</v>
      </c>
      <c r="E71">
        <v>66</v>
      </c>
      <c r="F71" s="3">
        <f>_xlfn.IFNA(IF(E71="", "",HLOOKUP($B$6, 'Plan Calculations'!$F$2:$L$75, E71+1, FALSE)), "Something is wrong")</f>
        <v>7200</v>
      </c>
    </row>
    <row r="72" spans="4:6" x14ac:dyDescent="0.25">
      <c r="D72">
        <f t="shared" ref="D72:D105" si="1">IF(E72="", "", D71+1)</f>
        <v>127</v>
      </c>
      <c r="E72">
        <v>67</v>
      </c>
      <c r="F72" s="3">
        <f>_xlfn.IFNA(IF(E72="", "",HLOOKUP($B$6, 'Plan Calculations'!$F$2:$L$75, E72+1, FALSE)), "Something is wrong")</f>
        <v>7200</v>
      </c>
    </row>
    <row r="73" spans="4:6" x14ac:dyDescent="0.25">
      <c r="D73">
        <f t="shared" si="1"/>
        <v>128</v>
      </c>
      <c r="E73">
        <v>68</v>
      </c>
      <c r="F73" s="3">
        <f>_xlfn.IFNA(IF(E73="", "",HLOOKUP($B$6, 'Plan Calculations'!$F$2:$L$75, E73+1, FALSE)), "Something is wrong")</f>
        <v>7200</v>
      </c>
    </row>
    <row r="74" spans="4:6" x14ac:dyDescent="0.25">
      <c r="D74">
        <f t="shared" si="1"/>
        <v>129</v>
      </c>
      <c r="E74">
        <v>69</v>
      </c>
      <c r="F74" s="3">
        <f>_xlfn.IFNA(IF(E74="", "",HLOOKUP($B$6, 'Plan Calculations'!$F$2:$L$75, E74+1, FALSE)), "Something is wrong")</f>
        <v>7200</v>
      </c>
    </row>
    <row r="75" spans="4:6" x14ac:dyDescent="0.25">
      <c r="D75">
        <f t="shared" si="1"/>
        <v>130</v>
      </c>
      <c r="E75">
        <v>70</v>
      </c>
      <c r="F75" s="3">
        <f>_xlfn.IFNA(IF(E75="", "",HLOOKUP($B$6, 'Plan Calculations'!$F$2:$L$75, E75+1, FALSE)), "Something is wrong")</f>
        <v>7200</v>
      </c>
    </row>
    <row r="76" spans="4:6" x14ac:dyDescent="0.25">
      <c r="D76">
        <f t="shared" si="1"/>
        <v>131</v>
      </c>
      <c r="E76">
        <v>71</v>
      </c>
      <c r="F76" s="3">
        <f>_xlfn.IFNA(IF(E76="", "",HLOOKUP($B$6, 'Plan Calculations'!$F$2:$L$75, E76+1, FALSE)), "Something is wrong")</f>
        <v>7200</v>
      </c>
    </row>
    <row r="77" spans="4:6" x14ac:dyDescent="0.25">
      <c r="D77" t="str">
        <f t="shared" si="1"/>
        <v/>
      </c>
    </row>
    <row r="78" spans="4:6" x14ac:dyDescent="0.25">
      <c r="D78" t="str">
        <f t="shared" si="1"/>
        <v/>
      </c>
    </row>
    <row r="79" spans="4:6" x14ac:dyDescent="0.25">
      <c r="D79" t="str">
        <f t="shared" si="1"/>
        <v/>
      </c>
    </row>
    <row r="80" spans="4:6" x14ac:dyDescent="0.25">
      <c r="D80" t="str">
        <f t="shared" si="1"/>
        <v/>
      </c>
    </row>
    <row r="81" spans="4:4" x14ac:dyDescent="0.25">
      <c r="D81" t="str">
        <f t="shared" si="1"/>
        <v/>
      </c>
    </row>
    <row r="82" spans="4:4" x14ac:dyDescent="0.25">
      <c r="D82" t="str">
        <f t="shared" si="1"/>
        <v/>
      </c>
    </row>
    <row r="83" spans="4:4" x14ac:dyDescent="0.25">
      <c r="D83" t="str">
        <f t="shared" si="1"/>
        <v/>
      </c>
    </row>
    <row r="84" spans="4:4" x14ac:dyDescent="0.25">
      <c r="D84" t="str">
        <f t="shared" si="1"/>
        <v/>
      </c>
    </row>
    <row r="85" spans="4:4" x14ac:dyDescent="0.25">
      <c r="D85" t="str">
        <f t="shared" si="1"/>
        <v/>
      </c>
    </row>
    <row r="86" spans="4:4" x14ac:dyDescent="0.25">
      <c r="D86" t="str">
        <f t="shared" si="1"/>
        <v/>
      </c>
    </row>
    <row r="87" spans="4:4" x14ac:dyDescent="0.25">
      <c r="D87" t="str">
        <f t="shared" si="1"/>
        <v/>
      </c>
    </row>
    <row r="88" spans="4:4" x14ac:dyDescent="0.25">
      <c r="D88" t="str">
        <f t="shared" si="1"/>
        <v/>
      </c>
    </row>
    <row r="89" spans="4:4" x14ac:dyDescent="0.25">
      <c r="D89" t="str">
        <f t="shared" si="1"/>
        <v/>
      </c>
    </row>
    <row r="90" spans="4:4" x14ac:dyDescent="0.25">
      <c r="D90" t="str">
        <f t="shared" si="1"/>
        <v/>
      </c>
    </row>
    <row r="91" spans="4:4" x14ac:dyDescent="0.25">
      <c r="D91" t="str">
        <f t="shared" si="1"/>
        <v/>
      </c>
    </row>
    <row r="92" spans="4:4" x14ac:dyDescent="0.25">
      <c r="D92" t="str">
        <f t="shared" si="1"/>
        <v/>
      </c>
    </row>
    <row r="93" spans="4:4" x14ac:dyDescent="0.25">
      <c r="D93" t="str">
        <f t="shared" si="1"/>
        <v/>
      </c>
    </row>
    <row r="94" spans="4:4" x14ac:dyDescent="0.25">
      <c r="D94" t="str">
        <f t="shared" si="1"/>
        <v/>
      </c>
    </row>
    <row r="95" spans="4:4" x14ac:dyDescent="0.25">
      <c r="D95" t="str">
        <f t="shared" si="1"/>
        <v/>
      </c>
    </row>
    <row r="96" spans="4:4" x14ac:dyDescent="0.25">
      <c r="D96" t="str">
        <f t="shared" si="1"/>
        <v/>
      </c>
    </row>
    <row r="97" spans="4:4" x14ac:dyDescent="0.25">
      <c r="D97" t="str">
        <f t="shared" si="1"/>
        <v/>
      </c>
    </row>
    <row r="98" spans="4:4" x14ac:dyDescent="0.25">
      <c r="D98" t="str">
        <f t="shared" si="1"/>
        <v/>
      </c>
    </row>
    <row r="99" spans="4:4" x14ac:dyDescent="0.25">
      <c r="D99" t="str">
        <f t="shared" si="1"/>
        <v/>
      </c>
    </row>
    <row r="100" spans="4:4" x14ac:dyDescent="0.25">
      <c r="D100" t="str">
        <f t="shared" si="1"/>
        <v/>
      </c>
    </row>
    <row r="101" spans="4:4" x14ac:dyDescent="0.25">
      <c r="D101" t="str">
        <f t="shared" si="1"/>
        <v/>
      </c>
    </row>
    <row r="102" spans="4:4" x14ac:dyDescent="0.25">
      <c r="D102" t="str">
        <f t="shared" si="1"/>
        <v/>
      </c>
    </row>
    <row r="103" spans="4:4" x14ac:dyDescent="0.25">
      <c r="D103" t="str">
        <f t="shared" si="1"/>
        <v/>
      </c>
    </row>
    <row r="104" spans="4:4" x14ac:dyDescent="0.25">
      <c r="D104" t="str">
        <f t="shared" si="1"/>
        <v/>
      </c>
    </row>
    <row r="105" spans="4:4" x14ac:dyDescent="0.25">
      <c r="D105" t="str">
        <f t="shared" si="1"/>
        <v/>
      </c>
    </row>
  </sheetData>
  <mergeCells count="8">
    <mergeCell ref="H9:I9"/>
    <mergeCell ref="H11:I11"/>
    <mergeCell ref="H12:I12"/>
    <mergeCell ref="B2:J2"/>
    <mergeCell ref="B3:J3"/>
    <mergeCell ref="H5:I5"/>
    <mergeCell ref="H6:I6"/>
    <mergeCell ref="H8:I8"/>
  </mergeCells>
  <dataValidations count="3">
    <dataValidation type="list" allowBlank="1" showInputMessage="1" showErrorMessage="1" sqref="B6" xr:uid="{1C1093C7-942C-4F76-9C7A-36524D3FA77C}">
      <formula1>"Plan #1, Plan #2, Plan #3, Plan #4, Plan #5, Plan #6, Plan #7"</formula1>
    </dataValidation>
    <dataValidation type="whole" operator="greaterThanOrEqual" allowBlank="1" showInputMessage="1" showErrorMessage="1" errorTitle="Input Error" error="Age must be 40 or greater." sqref="B9" xr:uid="{B205AE56-156A-4305-BC72-736C7C08261F}">
      <formula1>40</formula1>
    </dataValidation>
    <dataValidation type="whole" operator="greaterThanOrEqual" allowBlank="1" showInputMessage="1" showErrorMessage="1" errorTitle="Input Error" error="Must be greater than or equal to current age." sqref="B12" xr:uid="{4FDDEA41-929C-42F9-806F-F530C567A054}">
      <formula1>B9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FC9E-7A95-4916-89DD-FE8BF0511794}">
  <sheetPr codeName="Sheet2"/>
  <dimension ref="B2:L75"/>
  <sheetViews>
    <sheetView workbookViewId="0">
      <selection activeCell="G3" sqref="G3:G75"/>
    </sheetView>
  </sheetViews>
  <sheetFormatPr defaultRowHeight="15" x14ac:dyDescent="0.25"/>
  <cols>
    <col min="2" max="2" width="19.85546875" bestFit="1" customWidth="1"/>
    <col min="3" max="3" width="5.28515625" customWidth="1"/>
    <col min="4" max="4" width="3" bestFit="1" customWidth="1"/>
    <col min="6" max="12" width="13.42578125" style="3" customWidth="1"/>
    <col min="13" max="15" width="13.42578125" customWidth="1"/>
  </cols>
  <sheetData>
    <row r="2" spans="2:12" x14ac:dyDescent="0.25">
      <c r="B2" t="s">
        <v>8</v>
      </c>
      <c r="F2" s="3" t="s">
        <v>5</v>
      </c>
      <c r="G2" s="3" t="s">
        <v>6</v>
      </c>
      <c r="H2" s="3" t="s">
        <v>84</v>
      </c>
      <c r="I2" s="3" t="s">
        <v>85</v>
      </c>
      <c r="J2" s="3" t="s">
        <v>7</v>
      </c>
      <c r="K2" s="3" t="s">
        <v>86</v>
      </c>
      <c r="L2" s="3" t="s">
        <v>87</v>
      </c>
    </row>
    <row r="3" spans="2:12" x14ac:dyDescent="0.25">
      <c r="B3">
        <f>'Illustration Calculator'!B15</f>
        <v>0</v>
      </c>
      <c r="C3">
        <f>B6</f>
        <v>61</v>
      </c>
      <c r="D3">
        <v>1</v>
      </c>
      <c r="E3" t="s">
        <v>9</v>
      </c>
      <c r="F3" s="3">
        <f t="shared" ref="F3:F66" si="0">IF(AND($B$6+D3-1&gt;=$B$9, $B$6+D3-1&lt;$B$9+$B$3), 15000, 0)</f>
        <v>0</v>
      </c>
      <c r="G3" s="3">
        <f>IF($C$3&gt;=65,IF(C3&gt;94,0,25000+((D3-1)*1000)),IF(OR(C3&lt;65,C3&gt;94),0,25000+((C3-65)*1000)))</f>
        <v>0</v>
      </c>
      <c r="H3" s="3">
        <f>IF(C3&lt;$B$9,0,7200)</f>
        <v>0</v>
      </c>
      <c r="I3" s="3">
        <f>IF(OR(C3&lt;60, C3&gt;100), 0, C3*1000)</f>
        <v>61000</v>
      </c>
      <c r="J3" s="3">
        <f>IF(C3&lt;$B$9, 0, IF(C3&lt;$B$9+($B$3/2), 19000, IF(C3&lt;$B$9+$B$3,25000,0)))</f>
        <v>0</v>
      </c>
      <c r="K3" s="3">
        <f>IF(OR(C3&lt;$B$9,C3&gt;$B$9+$B$3-1),0,100000/$B$3)</f>
        <v>0</v>
      </c>
      <c r="L3" s="3">
        <f>IF(OR(C3=$B$9, AND(ISEVEN(C3-$B$9), C3&gt;$B$9, C3&lt;($B$9+$B$3))),30000,0)</f>
        <v>0</v>
      </c>
    </row>
    <row r="4" spans="2:12" x14ac:dyDescent="0.25">
      <c r="C4">
        <f>C3+1</f>
        <v>62</v>
      </c>
      <c r="D4">
        <v>2</v>
      </c>
      <c r="E4" t="s">
        <v>10</v>
      </c>
      <c r="F4" s="3">
        <f t="shared" si="0"/>
        <v>0</v>
      </c>
      <c r="G4" s="3">
        <f t="shared" ref="G4:G67" si="1">IF($C$3&gt;=65,IF(C4&gt;94,0,25000+((D4-1)*1000)),IF(OR(C4&lt;65,C4&gt;94),0,25000+((C4-65)*1000)))</f>
        <v>0</v>
      </c>
      <c r="H4" s="3">
        <f t="shared" ref="H4:H67" si="2">IF(C4&lt;$B$9,0,7200)</f>
        <v>0</v>
      </c>
      <c r="I4" s="3">
        <f t="shared" ref="I4:I67" si="3">IF(OR(C4&lt;60, C4&gt;100), 0, C4*1000)</f>
        <v>62000</v>
      </c>
      <c r="J4" s="3">
        <f t="shared" ref="J4:J67" si="4">IF(C4&lt;$B$9, 0, IF(C4&lt;$B$9+($B$3/2), 19000, IF(C4&lt;$B$9+$B$3,25000,0)))</f>
        <v>0</v>
      </c>
      <c r="K4" s="3">
        <f t="shared" ref="K4:K67" si="5">IF(OR(C4&lt;$B$9,C4&gt;$B$9+$B$3-1),0,100000/$B$3)</f>
        <v>0</v>
      </c>
      <c r="L4" s="3">
        <f t="shared" ref="L4:L67" si="6">IF(OR(C4=$B$9, AND(ISEVEN(C4-$B$9), C4&gt;$B$9, C4&lt;($B$9+$B$3))),30000,0)</f>
        <v>0</v>
      </c>
    </row>
    <row r="5" spans="2:12" x14ac:dyDescent="0.25">
      <c r="B5" t="s">
        <v>11</v>
      </c>
      <c r="C5">
        <f t="shared" ref="C5:C68" si="7">C4+1</f>
        <v>63</v>
      </c>
      <c r="D5">
        <v>3</v>
      </c>
      <c r="E5" t="s">
        <v>12</v>
      </c>
      <c r="F5" s="3">
        <f t="shared" si="0"/>
        <v>0</v>
      </c>
      <c r="G5" s="3">
        <f t="shared" si="1"/>
        <v>0</v>
      </c>
      <c r="H5" s="3">
        <f t="shared" si="2"/>
        <v>0</v>
      </c>
      <c r="I5" s="3">
        <f t="shared" si="3"/>
        <v>63000</v>
      </c>
      <c r="J5" s="3">
        <f t="shared" si="4"/>
        <v>0</v>
      </c>
      <c r="K5" s="3">
        <f t="shared" si="5"/>
        <v>0</v>
      </c>
      <c r="L5" s="3">
        <f t="shared" si="6"/>
        <v>0</v>
      </c>
    </row>
    <row r="6" spans="2:12" x14ac:dyDescent="0.25">
      <c r="B6">
        <f>'Illustration Calculator'!B9</f>
        <v>61</v>
      </c>
      <c r="C6">
        <f t="shared" si="7"/>
        <v>64</v>
      </c>
      <c r="D6">
        <v>4</v>
      </c>
      <c r="E6" t="s">
        <v>13</v>
      </c>
      <c r="F6" s="3">
        <f t="shared" si="0"/>
        <v>0</v>
      </c>
      <c r="G6" s="3">
        <f t="shared" si="1"/>
        <v>0</v>
      </c>
      <c r="H6" s="3">
        <f t="shared" si="2"/>
        <v>0</v>
      </c>
      <c r="I6" s="3">
        <f t="shared" si="3"/>
        <v>64000</v>
      </c>
      <c r="J6" s="3">
        <f t="shared" si="4"/>
        <v>0</v>
      </c>
      <c r="K6" s="3">
        <f t="shared" si="5"/>
        <v>0</v>
      </c>
      <c r="L6" s="3">
        <f t="shared" si="6"/>
        <v>0</v>
      </c>
    </row>
    <row r="7" spans="2:12" x14ac:dyDescent="0.25">
      <c r="C7">
        <f t="shared" si="7"/>
        <v>65</v>
      </c>
      <c r="D7">
        <v>5</v>
      </c>
      <c r="E7" t="s">
        <v>14</v>
      </c>
      <c r="F7" s="3">
        <f t="shared" si="0"/>
        <v>0</v>
      </c>
      <c r="G7" s="3">
        <f t="shared" si="1"/>
        <v>25000</v>
      </c>
      <c r="H7" s="3">
        <f t="shared" si="2"/>
        <v>0</v>
      </c>
      <c r="I7" s="3">
        <f t="shared" si="3"/>
        <v>65000</v>
      </c>
      <c r="J7" s="3">
        <f t="shared" si="4"/>
        <v>0</v>
      </c>
      <c r="K7" s="3">
        <f t="shared" si="5"/>
        <v>0</v>
      </c>
      <c r="L7" s="3">
        <f t="shared" si="6"/>
        <v>0</v>
      </c>
    </row>
    <row r="8" spans="2:12" x14ac:dyDescent="0.25">
      <c r="B8" t="s">
        <v>15</v>
      </c>
      <c r="C8">
        <f t="shared" si="7"/>
        <v>66</v>
      </c>
      <c r="D8">
        <v>6</v>
      </c>
      <c r="E8" t="s">
        <v>16</v>
      </c>
      <c r="F8" s="3">
        <f t="shared" si="0"/>
        <v>0</v>
      </c>
      <c r="G8" s="3">
        <f t="shared" si="1"/>
        <v>26000</v>
      </c>
      <c r="H8" s="3">
        <f t="shared" si="2"/>
        <v>0</v>
      </c>
      <c r="I8" s="3">
        <f t="shared" si="3"/>
        <v>66000</v>
      </c>
      <c r="J8" s="3">
        <f t="shared" si="4"/>
        <v>0</v>
      </c>
      <c r="K8" s="3">
        <f t="shared" si="5"/>
        <v>0</v>
      </c>
      <c r="L8" s="3">
        <f t="shared" si="6"/>
        <v>0</v>
      </c>
    </row>
    <row r="9" spans="2:12" x14ac:dyDescent="0.25">
      <c r="B9">
        <f>'Illustration Calculator'!B12</f>
        <v>70</v>
      </c>
      <c r="C9">
        <f t="shared" si="7"/>
        <v>67</v>
      </c>
      <c r="D9">
        <v>7</v>
      </c>
      <c r="E9" t="s">
        <v>17</v>
      </c>
      <c r="F9" s="3">
        <f t="shared" si="0"/>
        <v>0</v>
      </c>
      <c r="G9" s="3">
        <f t="shared" si="1"/>
        <v>27000</v>
      </c>
      <c r="H9" s="3">
        <f t="shared" si="2"/>
        <v>0</v>
      </c>
      <c r="I9" s="3">
        <f t="shared" si="3"/>
        <v>67000</v>
      </c>
      <c r="J9" s="3">
        <f t="shared" si="4"/>
        <v>0</v>
      </c>
      <c r="K9" s="3">
        <f t="shared" si="5"/>
        <v>0</v>
      </c>
      <c r="L9" s="3">
        <f t="shared" si="6"/>
        <v>0</v>
      </c>
    </row>
    <row r="10" spans="2:12" x14ac:dyDescent="0.25">
      <c r="C10">
        <f t="shared" si="7"/>
        <v>68</v>
      </c>
      <c r="D10">
        <v>8</v>
      </c>
      <c r="E10" t="s">
        <v>18</v>
      </c>
      <c r="F10" s="3">
        <f t="shared" si="0"/>
        <v>0</v>
      </c>
      <c r="G10" s="3">
        <f t="shared" si="1"/>
        <v>28000</v>
      </c>
      <c r="H10" s="3">
        <f t="shared" si="2"/>
        <v>0</v>
      </c>
      <c r="I10" s="3">
        <f t="shared" si="3"/>
        <v>68000</v>
      </c>
      <c r="J10" s="3">
        <f t="shared" si="4"/>
        <v>0</v>
      </c>
      <c r="K10" s="3">
        <f t="shared" si="5"/>
        <v>0</v>
      </c>
      <c r="L10" s="3">
        <f t="shared" si="6"/>
        <v>0</v>
      </c>
    </row>
    <row r="11" spans="2:12" x14ac:dyDescent="0.25">
      <c r="C11">
        <f t="shared" si="7"/>
        <v>69</v>
      </c>
      <c r="D11">
        <v>9</v>
      </c>
      <c r="E11" t="s">
        <v>19</v>
      </c>
      <c r="F11" s="3">
        <f t="shared" si="0"/>
        <v>0</v>
      </c>
      <c r="G11" s="3">
        <f t="shared" si="1"/>
        <v>29000</v>
      </c>
      <c r="H11" s="3">
        <f t="shared" si="2"/>
        <v>0</v>
      </c>
      <c r="I11" s="3">
        <f t="shared" si="3"/>
        <v>69000</v>
      </c>
      <c r="J11" s="3">
        <f t="shared" si="4"/>
        <v>0</v>
      </c>
      <c r="K11" s="3">
        <f t="shared" si="5"/>
        <v>0</v>
      </c>
      <c r="L11" s="3">
        <f t="shared" si="6"/>
        <v>0</v>
      </c>
    </row>
    <row r="12" spans="2:12" x14ac:dyDescent="0.25">
      <c r="C12">
        <f t="shared" si="7"/>
        <v>70</v>
      </c>
      <c r="D12">
        <v>10</v>
      </c>
      <c r="E12" t="s">
        <v>20</v>
      </c>
      <c r="F12" s="3">
        <f t="shared" si="0"/>
        <v>0</v>
      </c>
      <c r="G12" s="3">
        <f t="shared" si="1"/>
        <v>30000</v>
      </c>
      <c r="H12" s="3">
        <f t="shared" si="2"/>
        <v>7200</v>
      </c>
      <c r="I12" s="3">
        <f t="shared" si="3"/>
        <v>70000</v>
      </c>
      <c r="J12" s="3">
        <f t="shared" si="4"/>
        <v>0</v>
      </c>
      <c r="K12" s="3">
        <f t="shared" si="5"/>
        <v>0</v>
      </c>
      <c r="L12" s="3">
        <f t="shared" si="6"/>
        <v>30000</v>
      </c>
    </row>
    <row r="13" spans="2:12" x14ac:dyDescent="0.25">
      <c r="C13">
        <f t="shared" si="7"/>
        <v>71</v>
      </c>
      <c r="D13">
        <v>11</v>
      </c>
      <c r="E13" t="s">
        <v>21</v>
      </c>
      <c r="F13" s="3">
        <f t="shared" si="0"/>
        <v>0</v>
      </c>
      <c r="G13" s="3">
        <f t="shared" si="1"/>
        <v>31000</v>
      </c>
      <c r="H13" s="3">
        <f t="shared" si="2"/>
        <v>7200</v>
      </c>
      <c r="I13" s="3">
        <f t="shared" si="3"/>
        <v>71000</v>
      </c>
      <c r="J13" s="3">
        <f t="shared" si="4"/>
        <v>0</v>
      </c>
      <c r="K13" s="3">
        <f t="shared" si="5"/>
        <v>0</v>
      </c>
      <c r="L13" s="3">
        <f t="shared" si="6"/>
        <v>0</v>
      </c>
    </row>
    <row r="14" spans="2:12" x14ac:dyDescent="0.25">
      <c r="C14">
        <f t="shared" si="7"/>
        <v>72</v>
      </c>
      <c r="D14">
        <v>12</v>
      </c>
      <c r="E14" t="s">
        <v>22</v>
      </c>
      <c r="F14" s="3">
        <f t="shared" si="0"/>
        <v>0</v>
      </c>
      <c r="G14" s="3">
        <f t="shared" si="1"/>
        <v>32000</v>
      </c>
      <c r="H14" s="3">
        <f t="shared" si="2"/>
        <v>7200</v>
      </c>
      <c r="I14" s="3">
        <f t="shared" si="3"/>
        <v>72000</v>
      </c>
      <c r="J14" s="3">
        <f t="shared" si="4"/>
        <v>0</v>
      </c>
      <c r="K14" s="3">
        <f t="shared" si="5"/>
        <v>0</v>
      </c>
      <c r="L14" s="3">
        <f t="shared" si="6"/>
        <v>0</v>
      </c>
    </row>
    <row r="15" spans="2:12" x14ac:dyDescent="0.25">
      <c r="C15">
        <f t="shared" si="7"/>
        <v>73</v>
      </c>
      <c r="D15">
        <v>13</v>
      </c>
      <c r="E15" t="s">
        <v>23</v>
      </c>
      <c r="F15" s="3">
        <f t="shared" si="0"/>
        <v>0</v>
      </c>
      <c r="G15" s="3">
        <f t="shared" si="1"/>
        <v>33000</v>
      </c>
      <c r="H15" s="3">
        <f t="shared" si="2"/>
        <v>7200</v>
      </c>
      <c r="I15" s="3">
        <f t="shared" si="3"/>
        <v>73000</v>
      </c>
      <c r="J15" s="3">
        <f t="shared" si="4"/>
        <v>0</v>
      </c>
      <c r="K15" s="3">
        <f t="shared" si="5"/>
        <v>0</v>
      </c>
      <c r="L15" s="3">
        <f t="shared" si="6"/>
        <v>0</v>
      </c>
    </row>
    <row r="16" spans="2:12" x14ac:dyDescent="0.25">
      <c r="C16">
        <f t="shared" si="7"/>
        <v>74</v>
      </c>
      <c r="D16">
        <v>14</v>
      </c>
      <c r="E16" t="s">
        <v>24</v>
      </c>
      <c r="F16" s="3">
        <f t="shared" si="0"/>
        <v>0</v>
      </c>
      <c r="G16" s="3">
        <f t="shared" si="1"/>
        <v>34000</v>
      </c>
      <c r="H16" s="3">
        <f t="shared" si="2"/>
        <v>7200</v>
      </c>
      <c r="I16" s="3">
        <f t="shared" si="3"/>
        <v>74000</v>
      </c>
      <c r="J16" s="3">
        <f t="shared" si="4"/>
        <v>0</v>
      </c>
      <c r="K16" s="3">
        <f t="shared" si="5"/>
        <v>0</v>
      </c>
      <c r="L16" s="3">
        <f t="shared" si="6"/>
        <v>0</v>
      </c>
    </row>
    <row r="17" spans="3:12" x14ac:dyDescent="0.25">
      <c r="C17">
        <f t="shared" si="7"/>
        <v>75</v>
      </c>
      <c r="D17">
        <v>15</v>
      </c>
      <c r="E17" t="s">
        <v>25</v>
      </c>
      <c r="F17" s="3">
        <f t="shared" si="0"/>
        <v>0</v>
      </c>
      <c r="G17" s="3">
        <f t="shared" si="1"/>
        <v>35000</v>
      </c>
      <c r="H17" s="3">
        <f t="shared" si="2"/>
        <v>7200</v>
      </c>
      <c r="I17" s="3">
        <f t="shared" si="3"/>
        <v>75000</v>
      </c>
      <c r="J17" s="3">
        <f t="shared" si="4"/>
        <v>0</v>
      </c>
      <c r="K17" s="3">
        <f t="shared" si="5"/>
        <v>0</v>
      </c>
      <c r="L17" s="3">
        <f t="shared" si="6"/>
        <v>0</v>
      </c>
    </row>
    <row r="18" spans="3:12" x14ac:dyDescent="0.25">
      <c r="C18">
        <f t="shared" si="7"/>
        <v>76</v>
      </c>
      <c r="D18">
        <v>16</v>
      </c>
      <c r="E18" t="s">
        <v>26</v>
      </c>
      <c r="F18" s="3">
        <f t="shared" si="0"/>
        <v>0</v>
      </c>
      <c r="G18" s="3">
        <f t="shared" si="1"/>
        <v>36000</v>
      </c>
      <c r="H18" s="3">
        <f t="shared" si="2"/>
        <v>7200</v>
      </c>
      <c r="I18" s="3">
        <f t="shared" si="3"/>
        <v>76000</v>
      </c>
      <c r="J18" s="3">
        <f t="shared" si="4"/>
        <v>0</v>
      </c>
      <c r="K18" s="3">
        <f t="shared" si="5"/>
        <v>0</v>
      </c>
      <c r="L18" s="3">
        <f t="shared" si="6"/>
        <v>0</v>
      </c>
    </row>
    <row r="19" spans="3:12" x14ac:dyDescent="0.25">
      <c r="C19">
        <f t="shared" si="7"/>
        <v>77</v>
      </c>
      <c r="D19">
        <v>17</v>
      </c>
      <c r="E19" t="s">
        <v>27</v>
      </c>
      <c r="F19" s="3">
        <f t="shared" si="0"/>
        <v>0</v>
      </c>
      <c r="G19" s="3">
        <f t="shared" si="1"/>
        <v>37000</v>
      </c>
      <c r="H19" s="3">
        <f t="shared" si="2"/>
        <v>7200</v>
      </c>
      <c r="I19" s="3">
        <f t="shared" si="3"/>
        <v>77000</v>
      </c>
      <c r="J19" s="3">
        <f t="shared" si="4"/>
        <v>0</v>
      </c>
      <c r="K19" s="3">
        <f t="shared" si="5"/>
        <v>0</v>
      </c>
      <c r="L19" s="3">
        <f t="shared" si="6"/>
        <v>0</v>
      </c>
    </row>
    <row r="20" spans="3:12" x14ac:dyDescent="0.25">
      <c r="C20">
        <f t="shared" si="7"/>
        <v>78</v>
      </c>
      <c r="D20">
        <v>18</v>
      </c>
      <c r="E20" t="s">
        <v>28</v>
      </c>
      <c r="F20" s="3">
        <f t="shared" si="0"/>
        <v>0</v>
      </c>
      <c r="G20" s="3">
        <f t="shared" si="1"/>
        <v>38000</v>
      </c>
      <c r="H20" s="3">
        <f t="shared" si="2"/>
        <v>7200</v>
      </c>
      <c r="I20" s="3">
        <f t="shared" si="3"/>
        <v>78000</v>
      </c>
      <c r="J20" s="3">
        <f t="shared" si="4"/>
        <v>0</v>
      </c>
      <c r="K20" s="3">
        <f t="shared" si="5"/>
        <v>0</v>
      </c>
      <c r="L20" s="3">
        <f t="shared" si="6"/>
        <v>0</v>
      </c>
    </row>
    <row r="21" spans="3:12" x14ac:dyDescent="0.25">
      <c r="C21">
        <f t="shared" si="7"/>
        <v>79</v>
      </c>
      <c r="D21">
        <v>19</v>
      </c>
      <c r="E21" t="s">
        <v>29</v>
      </c>
      <c r="F21" s="3">
        <f t="shared" si="0"/>
        <v>0</v>
      </c>
      <c r="G21" s="3">
        <f t="shared" si="1"/>
        <v>39000</v>
      </c>
      <c r="H21" s="3">
        <f t="shared" si="2"/>
        <v>7200</v>
      </c>
      <c r="I21" s="3">
        <f t="shared" si="3"/>
        <v>79000</v>
      </c>
      <c r="J21" s="3">
        <f t="shared" si="4"/>
        <v>0</v>
      </c>
      <c r="K21" s="3">
        <f t="shared" si="5"/>
        <v>0</v>
      </c>
      <c r="L21" s="3">
        <f t="shared" si="6"/>
        <v>0</v>
      </c>
    </row>
    <row r="22" spans="3:12" x14ac:dyDescent="0.25">
      <c r="C22">
        <f t="shared" si="7"/>
        <v>80</v>
      </c>
      <c r="D22">
        <v>20</v>
      </c>
      <c r="E22" t="s">
        <v>30</v>
      </c>
      <c r="F22" s="3">
        <f t="shared" si="0"/>
        <v>0</v>
      </c>
      <c r="G22" s="3">
        <f t="shared" si="1"/>
        <v>40000</v>
      </c>
      <c r="H22" s="3">
        <f t="shared" si="2"/>
        <v>7200</v>
      </c>
      <c r="I22" s="3">
        <f t="shared" si="3"/>
        <v>80000</v>
      </c>
      <c r="J22" s="3">
        <f t="shared" si="4"/>
        <v>0</v>
      </c>
      <c r="K22" s="3">
        <f t="shared" si="5"/>
        <v>0</v>
      </c>
      <c r="L22" s="3">
        <f t="shared" si="6"/>
        <v>0</v>
      </c>
    </row>
    <row r="23" spans="3:12" x14ac:dyDescent="0.25">
      <c r="C23">
        <f t="shared" si="7"/>
        <v>81</v>
      </c>
      <c r="D23">
        <v>21</v>
      </c>
      <c r="E23" t="s">
        <v>31</v>
      </c>
      <c r="F23" s="3">
        <f t="shared" si="0"/>
        <v>0</v>
      </c>
      <c r="G23" s="3">
        <f t="shared" si="1"/>
        <v>41000</v>
      </c>
      <c r="H23" s="3">
        <f t="shared" si="2"/>
        <v>7200</v>
      </c>
      <c r="I23" s="3">
        <f t="shared" si="3"/>
        <v>81000</v>
      </c>
      <c r="J23" s="3">
        <f t="shared" si="4"/>
        <v>0</v>
      </c>
      <c r="K23" s="3">
        <f t="shared" si="5"/>
        <v>0</v>
      </c>
      <c r="L23" s="3">
        <f t="shared" si="6"/>
        <v>0</v>
      </c>
    </row>
    <row r="24" spans="3:12" x14ac:dyDescent="0.25">
      <c r="C24">
        <f t="shared" si="7"/>
        <v>82</v>
      </c>
      <c r="D24">
        <v>22</v>
      </c>
      <c r="E24" t="s">
        <v>32</v>
      </c>
      <c r="F24" s="3">
        <f t="shared" si="0"/>
        <v>0</v>
      </c>
      <c r="G24" s="3">
        <f t="shared" si="1"/>
        <v>42000</v>
      </c>
      <c r="H24" s="3">
        <f t="shared" si="2"/>
        <v>7200</v>
      </c>
      <c r="I24" s="3">
        <f t="shared" si="3"/>
        <v>82000</v>
      </c>
      <c r="J24" s="3">
        <f t="shared" si="4"/>
        <v>0</v>
      </c>
      <c r="K24" s="3">
        <f t="shared" si="5"/>
        <v>0</v>
      </c>
      <c r="L24" s="3">
        <f t="shared" si="6"/>
        <v>0</v>
      </c>
    </row>
    <row r="25" spans="3:12" x14ac:dyDescent="0.25">
      <c r="C25">
        <f t="shared" si="7"/>
        <v>83</v>
      </c>
      <c r="D25">
        <v>23</v>
      </c>
      <c r="E25" t="s">
        <v>33</v>
      </c>
      <c r="F25" s="3">
        <f t="shared" si="0"/>
        <v>0</v>
      </c>
      <c r="G25" s="3">
        <f t="shared" si="1"/>
        <v>43000</v>
      </c>
      <c r="H25" s="3">
        <f t="shared" si="2"/>
        <v>7200</v>
      </c>
      <c r="I25" s="3">
        <f t="shared" si="3"/>
        <v>83000</v>
      </c>
      <c r="J25" s="3">
        <f t="shared" si="4"/>
        <v>0</v>
      </c>
      <c r="K25" s="3">
        <f t="shared" si="5"/>
        <v>0</v>
      </c>
      <c r="L25" s="3">
        <f t="shared" si="6"/>
        <v>0</v>
      </c>
    </row>
    <row r="26" spans="3:12" x14ac:dyDescent="0.25">
      <c r="C26">
        <f t="shared" si="7"/>
        <v>84</v>
      </c>
      <c r="D26">
        <v>24</v>
      </c>
      <c r="E26" t="s">
        <v>34</v>
      </c>
      <c r="F26" s="3">
        <f t="shared" si="0"/>
        <v>0</v>
      </c>
      <c r="G26" s="3">
        <f t="shared" si="1"/>
        <v>44000</v>
      </c>
      <c r="H26" s="3">
        <f t="shared" si="2"/>
        <v>7200</v>
      </c>
      <c r="I26" s="3">
        <f t="shared" si="3"/>
        <v>84000</v>
      </c>
      <c r="J26" s="3">
        <f t="shared" si="4"/>
        <v>0</v>
      </c>
      <c r="K26" s="3">
        <f t="shared" si="5"/>
        <v>0</v>
      </c>
      <c r="L26" s="3">
        <f t="shared" si="6"/>
        <v>0</v>
      </c>
    </row>
    <row r="27" spans="3:12" x14ac:dyDescent="0.25">
      <c r="C27">
        <f t="shared" si="7"/>
        <v>85</v>
      </c>
      <c r="D27">
        <v>25</v>
      </c>
      <c r="E27" t="s">
        <v>35</v>
      </c>
      <c r="F27" s="3">
        <f t="shared" si="0"/>
        <v>0</v>
      </c>
      <c r="G27" s="3">
        <f t="shared" si="1"/>
        <v>45000</v>
      </c>
      <c r="H27" s="3">
        <f t="shared" si="2"/>
        <v>7200</v>
      </c>
      <c r="I27" s="3">
        <f t="shared" si="3"/>
        <v>85000</v>
      </c>
      <c r="J27" s="3">
        <f t="shared" si="4"/>
        <v>0</v>
      </c>
      <c r="K27" s="3">
        <f t="shared" si="5"/>
        <v>0</v>
      </c>
      <c r="L27" s="3">
        <f t="shared" si="6"/>
        <v>0</v>
      </c>
    </row>
    <row r="28" spans="3:12" x14ac:dyDescent="0.25">
      <c r="C28">
        <f t="shared" si="7"/>
        <v>86</v>
      </c>
      <c r="D28">
        <v>26</v>
      </c>
      <c r="E28" t="s">
        <v>36</v>
      </c>
      <c r="F28" s="3">
        <f t="shared" si="0"/>
        <v>0</v>
      </c>
      <c r="G28" s="3">
        <f t="shared" si="1"/>
        <v>46000</v>
      </c>
      <c r="H28" s="3">
        <f t="shared" si="2"/>
        <v>7200</v>
      </c>
      <c r="I28" s="3">
        <f t="shared" si="3"/>
        <v>86000</v>
      </c>
      <c r="J28" s="3">
        <f t="shared" si="4"/>
        <v>0</v>
      </c>
      <c r="K28" s="3">
        <f t="shared" si="5"/>
        <v>0</v>
      </c>
      <c r="L28" s="3">
        <f t="shared" si="6"/>
        <v>0</v>
      </c>
    </row>
    <row r="29" spans="3:12" x14ac:dyDescent="0.25">
      <c r="C29">
        <f t="shared" si="7"/>
        <v>87</v>
      </c>
      <c r="D29">
        <v>27</v>
      </c>
      <c r="E29" t="s">
        <v>37</v>
      </c>
      <c r="F29" s="3">
        <f t="shared" si="0"/>
        <v>0</v>
      </c>
      <c r="G29" s="3">
        <f t="shared" si="1"/>
        <v>47000</v>
      </c>
      <c r="H29" s="3">
        <f t="shared" si="2"/>
        <v>7200</v>
      </c>
      <c r="I29" s="3">
        <f t="shared" si="3"/>
        <v>87000</v>
      </c>
      <c r="J29" s="3">
        <f t="shared" si="4"/>
        <v>0</v>
      </c>
      <c r="K29" s="3">
        <f t="shared" si="5"/>
        <v>0</v>
      </c>
      <c r="L29" s="3">
        <f t="shared" si="6"/>
        <v>0</v>
      </c>
    </row>
    <row r="30" spans="3:12" x14ac:dyDescent="0.25">
      <c r="C30">
        <f t="shared" si="7"/>
        <v>88</v>
      </c>
      <c r="D30">
        <v>28</v>
      </c>
      <c r="E30" t="s">
        <v>38</v>
      </c>
      <c r="F30" s="3">
        <f t="shared" si="0"/>
        <v>0</v>
      </c>
      <c r="G30" s="3">
        <f t="shared" si="1"/>
        <v>48000</v>
      </c>
      <c r="H30" s="3">
        <f t="shared" si="2"/>
        <v>7200</v>
      </c>
      <c r="I30" s="3">
        <f t="shared" si="3"/>
        <v>88000</v>
      </c>
      <c r="J30" s="3">
        <f t="shared" si="4"/>
        <v>0</v>
      </c>
      <c r="K30" s="3">
        <f t="shared" si="5"/>
        <v>0</v>
      </c>
      <c r="L30" s="3">
        <f t="shared" si="6"/>
        <v>0</v>
      </c>
    </row>
    <row r="31" spans="3:12" x14ac:dyDescent="0.25">
      <c r="C31">
        <f t="shared" si="7"/>
        <v>89</v>
      </c>
      <c r="D31">
        <v>29</v>
      </c>
      <c r="E31" t="s">
        <v>39</v>
      </c>
      <c r="F31" s="3">
        <f t="shared" si="0"/>
        <v>0</v>
      </c>
      <c r="G31" s="3">
        <f t="shared" si="1"/>
        <v>49000</v>
      </c>
      <c r="H31" s="3">
        <f t="shared" si="2"/>
        <v>7200</v>
      </c>
      <c r="I31" s="3">
        <f t="shared" si="3"/>
        <v>89000</v>
      </c>
      <c r="J31" s="3">
        <f t="shared" si="4"/>
        <v>0</v>
      </c>
      <c r="K31" s="3">
        <f t="shared" si="5"/>
        <v>0</v>
      </c>
      <c r="L31" s="3">
        <f t="shared" si="6"/>
        <v>0</v>
      </c>
    </row>
    <row r="32" spans="3:12" x14ac:dyDescent="0.25">
      <c r="C32">
        <f t="shared" si="7"/>
        <v>90</v>
      </c>
      <c r="D32">
        <v>30</v>
      </c>
      <c r="E32" t="s">
        <v>40</v>
      </c>
      <c r="F32" s="3">
        <f t="shared" si="0"/>
        <v>0</v>
      </c>
      <c r="G32" s="3">
        <f t="shared" si="1"/>
        <v>50000</v>
      </c>
      <c r="H32" s="3">
        <f t="shared" si="2"/>
        <v>7200</v>
      </c>
      <c r="I32" s="3">
        <f t="shared" si="3"/>
        <v>90000</v>
      </c>
      <c r="J32" s="3">
        <f t="shared" si="4"/>
        <v>0</v>
      </c>
      <c r="K32" s="3">
        <f t="shared" si="5"/>
        <v>0</v>
      </c>
      <c r="L32" s="3">
        <f t="shared" si="6"/>
        <v>0</v>
      </c>
    </row>
    <row r="33" spans="3:12" x14ac:dyDescent="0.25">
      <c r="C33">
        <f t="shared" si="7"/>
        <v>91</v>
      </c>
      <c r="D33">
        <v>31</v>
      </c>
      <c r="E33" t="s">
        <v>41</v>
      </c>
      <c r="F33" s="3">
        <f t="shared" si="0"/>
        <v>0</v>
      </c>
      <c r="G33" s="3">
        <f t="shared" si="1"/>
        <v>51000</v>
      </c>
      <c r="H33" s="3">
        <f t="shared" si="2"/>
        <v>7200</v>
      </c>
      <c r="I33" s="3">
        <f t="shared" si="3"/>
        <v>91000</v>
      </c>
      <c r="J33" s="3">
        <f t="shared" si="4"/>
        <v>0</v>
      </c>
      <c r="K33" s="3">
        <f t="shared" si="5"/>
        <v>0</v>
      </c>
      <c r="L33" s="3">
        <f t="shared" si="6"/>
        <v>0</v>
      </c>
    </row>
    <row r="34" spans="3:12" x14ac:dyDescent="0.25">
      <c r="C34">
        <f t="shared" si="7"/>
        <v>92</v>
      </c>
      <c r="D34">
        <v>32</v>
      </c>
      <c r="E34" t="s">
        <v>42</v>
      </c>
      <c r="F34" s="3">
        <f t="shared" si="0"/>
        <v>0</v>
      </c>
      <c r="G34" s="3">
        <f t="shared" si="1"/>
        <v>52000</v>
      </c>
      <c r="H34" s="3">
        <f t="shared" si="2"/>
        <v>7200</v>
      </c>
      <c r="I34" s="3">
        <f t="shared" si="3"/>
        <v>92000</v>
      </c>
      <c r="J34" s="3">
        <f t="shared" si="4"/>
        <v>0</v>
      </c>
      <c r="K34" s="3">
        <f t="shared" si="5"/>
        <v>0</v>
      </c>
      <c r="L34" s="3">
        <f t="shared" si="6"/>
        <v>0</v>
      </c>
    </row>
    <row r="35" spans="3:12" x14ac:dyDescent="0.25">
      <c r="C35">
        <f t="shared" si="7"/>
        <v>93</v>
      </c>
      <c r="D35">
        <v>33</v>
      </c>
      <c r="E35" t="s">
        <v>43</v>
      </c>
      <c r="F35" s="3">
        <f t="shared" si="0"/>
        <v>0</v>
      </c>
      <c r="G35" s="3">
        <f t="shared" si="1"/>
        <v>53000</v>
      </c>
      <c r="H35" s="3">
        <f t="shared" si="2"/>
        <v>7200</v>
      </c>
      <c r="I35" s="3">
        <f t="shared" si="3"/>
        <v>93000</v>
      </c>
      <c r="J35" s="3">
        <f t="shared" si="4"/>
        <v>0</v>
      </c>
      <c r="K35" s="3">
        <f t="shared" si="5"/>
        <v>0</v>
      </c>
      <c r="L35" s="3">
        <f t="shared" si="6"/>
        <v>0</v>
      </c>
    </row>
    <row r="36" spans="3:12" x14ac:dyDescent="0.25">
      <c r="C36">
        <f t="shared" si="7"/>
        <v>94</v>
      </c>
      <c r="D36">
        <v>34</v>
      </c>
      <c r="E36" t="s">
        <v>44</v>
      </c>
      <c r="F36" s="3">
        <f t="shared" si="0"/>
        <v>0</v>
      </c>
      <c r="G36" s="3">
        <f t="shared" si="1"/>
        <v>54000</v>
      </c>
      <c r="H36" s="3">
        <f t="shared" si="2"/>
        <v>7200</v>
      </c>
      <c r="I36" s="3">
        <f t="shared" si="3"/>
        <v>94000</v>
      </c>
      <c r="J36" s="3">
        <f t="shared" si="4"/>
        <v>0</v>
      </c>
      <c r="K36" s="3">
        <f t="shared" si="5"/>
        <v>0</v>
      </c>
      <c r="L36" s="3">
        <f t="shared" si="6"/>
        <v>0</v>
      </c>
    </row>
    <row r="37" spans="3:12" x14ac:dyDescent="0.25">
      <c r="C37">
        <f t="shared" si="7"/>
        <v>95</v>
      </c>
      <c r="D37">
        <v>35</v>
      </c>
      <c r="E37" t="s">
        <v>45</v>
      </c>
      <c r="F37" s="3">
        <f t="shared" si="0"/>
        <v>0</v>
      </c>
      <c r="G37" s="3">
        <f t="shared" si="1"/>
        <v>0</v>
      </c>
      <c r="H37" s="3">
        <f t="shared" si="2"/>
        <v>7200</v>
      </c>
      <c r="I37" s="3">
        <f t="shared" si="3"/>
        <v>95000</v>
      </c>
      <c r="J37" s="3">
        <f t="shared" si="4"/>
        <v>0</v>
      </c>
      <c r="K37" s="3">
        <f t="shared" si="5"/>
        <v>0</v>
      </c>
      <c r="L37" s="3">
        <f t="shared" si="6"/>
        <v>0</v>
      </c>
    </row>
    <row r="38" spans="3:12" x14ac:dyDescent="0.25">
      <c r="C38">
        <f t="shared" si="7"/>
        <v>96</v>
      </c>
      <c r="D38">
        <v>36</v>
      </c>
      <c r="E38" t="s">
        <v>46</v>
      </c>
      <c r="F38" s="3">
        <f t="shared" si="0"/>
        <v>0</v>
      </c>
      <c r="G38" s="3">
        <f t="shared" si="1"/>
        <v>0</v>
      </c>
      <c r="H38" s="3">
        <f t="shared" si="2"/>
        <v>7200</v>
      </c>
      <c r="I38" s="3">
        <f t="shared" si="3"/>
        <v>96000</v>
      </c>
      <c r="J38" s="3">
        <f t="shared" si="4"/>
        <v>0</v>
      </c>
      <c r="K38" s="3">
        <f t="shared" si="5"/>
        <v>0</v>
      </c>
      <c r="L38" s="3">
        <f t="shared" si="6"/>
        <v>0</v>
      </c>
    </row>
    <row r="39" spans="3:12" x14ac:dyDescent="0.25">
      <c r="C39">
        <f t="shared" si="7"/>
        <v>97</v>
      </c>
      <c r="D39">
        <v>37</v>
      </c>
      <c r="E39" t="s">
        <v>47</v>
      </c>
      <c r="F39" s="3">
        <f t="shared" si="0"/>
        <v>0</v>
      </c>
      <c r="G39" s="3">
        <f t="shared" si="1"/>
        <v>0</v>
      </c>
      <c r="H39" s="3">
        <f t="shared" si="2"/>
        <v>7200</v>
      </c>
      <c r="I39" s="3">
        <f t="shared" si="3"/>
        <v>97000</v>
      </c>
      <c r="J39" s="3">
        <f t="shared" si="4"/>
        <v>0</v>
      </c>
      <c r="K39" s="3">
        <f t="shared" si="5"/>
        <v>0</v>
      </c>
      <c r="L39" s="3">
        <f t="shared" si="6"/>
        <v>0</v>
      </c>
    </row>
    <row r="40" spans="3:12" x14ac:dyDescent="0.25">
      <c r="C40">
        <f t="shared" si="7"/>
        <v>98</v>
      </c>
      <c r="D40">
        <v>38</v>
      </c>
      <c r="E40" t="s">
        <v>48</v>
      </c>
      <c r="F40" s="3">
        <f t="shared" si="0"/>
        <v>0</v>
      </c>
      <c r="G40" s="3">
        <f t="shared" si="1"/>
        <v>0</v>
      </c>
      <c r="H40" s="3">
        <f t="shared" si="2"/>
        <v>7200</v>
      </c>
      <c r="I40" s="3">
        <f t="shared" si="3"/>
        <v>98000</v>
      </c>
      <c r="J40" s="3">
        <f t="shared" si="4"/>
        <v>0</v>
      </c>
      <c r="K40" s="3">
        <f t="shared" si="5"/>
        <v>0</v>
      </c>
      <c r="L40" s="3">
        <f t="shared" si="6"/>
        <v>0</v>
      </c>
    </row>
    <row r="41" spans="3:12" x14ac:dyDescent="0.25">
      <c r="C41">
        <f t="shared" si="7"/>
        <v>99</v>
      </c>
      <c r="D41">
        <v>39</v>
      </c>
      <c r="E41" t="s">
        <v>49</v>
      </c>
      <c r="F41" s="3">
        <f t="shared" si="0"/>
        <v>0</v>
      </c>
      <c r="G41" s="3">
        <f t="shared" si="1"/>
        <v>0</v>
      </c>
      <c r="H41" s="3">
        <f t="shared" si="2"/>
        <v>7200</v>
      </c>
      <c r="I41" s="3">
        <f t="shared" si="3"/>
        <v>99000</v>
      </c>
      <c r="J41" s="3">
        <f t="shared" si="4"/>
        <v>0</v>
      </c>
      <c r="K41" s="3">
        <f t="shared" si="5"/>
        <v>0</v>
      </c>
      <c r="L41" s="3">
        <f t="shared" si="6"/>
        <v>0</v>
      </c>
    </row>
    <row r="42" spans="3:12" x14ac:dyDescent="0.25">
      <c r="C42">
        <f t="shared" si="7"/>
        <v>100</v>
      </c>
      <c r="D42">
        <v>40</v>
      </c>
      <c r="E42" t="s">
        <v>50</v>
      </c>
      <c r="F42" s="3">
        <f t="shared" si="0"/>
        <v>0</v>
      </c>
      <c r="G42" s="3">
        <f t="shared" si="1"/>
        <v>0</v>
      </c>
      <c r="H42" s="3">
        <f t="shared" si="2"/>
        <v>7200</v>
      </c>
      <c r="I42" s="3">
        <f t="shared" si="3"/>
        <v>100000</v>
      </c>
      <c r="J42" s="3">
        <f t="shared" si="4"/>
        <v>0</v>
      </c>
      <c r="K42" s="3">
        <f t="shared" si="5"/>
        <v>0</v>
      </c>
      <c r="L42" s="3">
        <f t="shared" si="6"/>
        <v>0</v>
      </c>
    </row>
    <row r="43" spans="3:12" x14ac:dyDescent="0.25">
      <c r="C43">
        <f t="shared" si="7"/>
        <v>101</v>
      </c>
      <c r="D43">
        <v>41</v>
      </c>
      <c r="E43" t="s">
        <v>51</v>
      </c>
      <c r="F43" s="3">
        <f t="shared" si="0"/>
        <v>0</v>
      </c>
      <c r="G43" s="3">
        <f t="shared" si="1"/>
        <v>0</v>
      </c>
      <c r="H43" s="3">
        <f t="shared" si="2"/>
        <v>7200</v>
      </c>
      <c r="I43" s="3">
        <f t="shared" si="3"/>
        <v>0</v>
      </c>
      <c r="J43" s="3">
        <f t="shared" si="4"/>
        <v>0</v>
      </c>
      <c r="K43" s="3">
        <f t="shared" si="5"/>
        <v>0</v>
      </c>
      <c r="L43" s="3">
        <f t="shared" si="6"/>
        <v>0</v>
      </c>
    </row>
    <row r="44" spans="3:12" x14ac:dyDescent="0.25">
      <c r="C44">
        <f t="shared" si="7"/>
        <v>102</v>
      </c>
      <c r="D44">
        <v>42</v>
      </c>
      <c r="E44" t="s">
        <v>52</v>
      </c>
      <c r="F44" s="3">
        <f t="shared" si="0"/>
        <v>0</v>
      </c>
      <c r="G44" s="3">
        <f t="shared" si="1"/>
        <v>0</v>
      </c>
      <c r="H44" s="3">
        <f t="shared" si="2"/>
        <v>7200</v>
      </c>
      <c r="I44" s="3">
        <f t="shared" si="3"/>
        <v>0</v>
      </c>
      <c r="J44" s="3">
        <f t="shared" si="4"/>
        <v>0</v>
      </c>
      <c r="K44" s="3">
        <f t="shared" si="5"/>
        <v>0</v>
      </c>
      <c r="L44" s="3">
        <f t="shared" si="6"/>
        <v>0</v>
      </c>
    </row>
    <row r="45" spans="3:12" x14ac:dyDescent="0.25">
      <c r="C45">
        <f t="shared" si="7"/>
        <v>103</v>
      </c>
      <c r="D45">
        <v>43</v>
      </c>
      <c r="E45" t="s">
        <v>53</v>
      </c>
      <c r="F45" s="3">
        <f t="shared" si="0"/>
        <v>0</v>
      </c>
      <c r="G45" s="3">
        <f t="shared" si="1"/>
        <v>0</v>
      </c>
      <c r="H45" s="3">
        <f t="shared" si="2"/>
        <v>7200</v>
      </c>
      <c r="I45" s="3">
        <f t="shared" si="3"/>
        <v>0</v>
      </c>
      <c r="J45" s="3">
        <f t="shared" si="4"/>
        <v>0</v>
      </c>
      <c r="K45" s="3">
        <f t="shared" si="5"/>
        <v>0</v>
      </c>
      <c r="L45" s="3">
        <f t="shared" si="6"/>
        <v>0</v>
      </c>
    </row>
    <row r="46" spans="3:12" x14ac:dyDescent="0.25">
      <c r="C46">
        <f t="shared" si="7"/>
        <v>104</v>
      </c>
      <c r="D46">
        <v>44</v>
      </c>
      <c r="E46" t="s">
        <v>54</v>
      </c>
      <c r="F46" s="3">
        <f t="shared" si="0"/>
        <v>0</v>
      </c>
      <c r="G46" s="3">
        <f t="shared" si="1"/>
        <v>0</v>
      </c>
      <c r="H46" s="3">
        <f t="shared" si="2"/>
        <v>7200</v>
      </c>
      <c r="I46" s="3">
        <f t="shared" si="3"/>
        <v>0</v>
      </c>
      <c r="J46" s="3">
        <f t="shared" si="4"/>
        <v>0</v>
      </c>
      <c r="K46" s="3">
        <f t="shared" si="5"/>
        <v>0</v>
      </c>
      <c r="L46" s="3">
        <f t="shared" si="6"/>
        <v>0</v>
      </c>
    </row>
    <row r="47" spans="3:12" x14ac:dyDescent="0.25">
      <c r="C47">
        <f t="shared" si="7"/>
        <v>105</v>
      </c>
      <c r="D47">
        <v>45</v>
      </c>
      <c r="E47" t="s">
        <v>55</v>
      </c>
      <c r="F47" s="3">
        <f t="shared" si="0"/>
        <v>0</v>
      </c>
      <c r="G47" s="3">
        <f t="shared" si="1"/>
        <v>0</v>
      </c>
      <c r="H47" s="3">
        <f t="shared" si="2"/>
        <v>7200</v>
      </c>
      <c r="I47" s="3">
        <f t="shared" si="3"/>
        <v>0</v>
      </c>
      <c r="J47" s="3">
        <f t="shared" si="4"/>
        <v>0</v>
      </c>
      <c r="K47" s="3">
        <f t="shared" si="5"/>
        <v>0</v>
      </c>
      <c r="L47" s="3">
        <f t="shared" si="6"/>
        <v>0</v>
      </c>
    </row>
    <row r="48" spans="3:12" x14ac:dyDescent="0.25">
      <c r="C48">
        <f t="shared" si="7"/>
        <v>106</v>
      </c>
      <c r="D48">
        <v>46</v>
      </c>
      <c r="E48" t="s">
        <v>56</v>
      </c>
      <c r="F48" s="3">
        <f t="shared" si="0"/>
        <v>0</v>
      </c>
      <c r="G48" s="3">
        <f t="shared" si="1"/>
        <v>0</v>
      </c>
      <c r="H48" s="3">
        <f t="shared" si="2"/>
        <v>7200</v>
      </c>
      <c r="I48" s="3">
        <f t="shared" si="3"/>
        <v>0</v>
      </c>
      <c r="J48" s="3">
        <f t="shared" si="4"/>
        <v>0</v>
      </c>
      <c r="K48" s="3">
        <f t="shared" si="5"/>
        <v>0</v>
      </c>
      <c r="L48" s="3">
        <f t="shared" si="6"/>
        <v>0</v>
      </c>
    </row>
    <row r="49" spans="3:12" x14ac:dyDescent="0.25">
      <c r="C49">
        <f t="shared" si="7"/>
        <v>107</v>
      </c>
      <c r="D49">
        <v>47</v>
      </c>
      <c r="E49" t="s">
        <v>57</v>
      </c>
      <c r="F49" s="3">
        <f t="shared" si="0"/>
        <v>0</v>
      </c>
      <c r="G49" s="3">
        <f t="shared" si="1"/>
        <v>0</v>
      </c>
      <c r="H49" s="3">
        <f t="shared" si="2"/>
        <v>7200</v>
      </c>
      <c r="I49" s="3">
        <f t="shared" si="3"/>
        <v>0</v>
      </c>
      <c r="J49" s="3">
        <f t="shared" si="4"/>
        <v>0</v>
      </c>
      <c r="K49" s="3">
        <f t="shared" si="5"/>
        <v>0</v>
      </c>
      <c r="L49" s="3">
        <f t="shared" si="6"/>
        <v>0</v>
      </c>
    </row>
    <row r="50" spans="3:12" x14ac:dyDescent="0.25">
      <c r="C50">
        <f t="shared" si="7"/>
        <v>108</v>
      </c>
      <c r="D50">
        <v>48</v>
      </c>
      <c r="E50" t="s">
        <v>58</v>
      </c>
      <c r="F50" s="3">
        <f t="shared" si="0"/>
        <v>0</v>
      </c>
      <c r="G50" s="3">
        <f t="shared" si="1"/>
        <v>0</v>
      </c>
      <c r="H50" s="3">
        <f t="shared" si="2"/>
        <v>7200</v>
      </c>
      <c r="I50" s="3">
        <f t="shared" si="3"/>
        <v>0</v>
      </c>
      <c r="J50" s="3">
        <f t="shared" si="4"/>
        <v>0</v>
      </c>
      <c r="K50" s="3">
        <f t="shared" si="5"/>
        <v>0</v>
      </c>
      <c r="L50" s="3">
        <f t="shared" si="6"/>
        <v>0</v>
      </c>
    </row>
    <row r="51" spans="3:12" x14ac:dyDescent="0.25">
      <c r="C51">
        <f t="shared" si="7"/>
        <v>109</v>
      </c>
      <c r="D51">
        <v>49</v>
      </c>
      <c r="E51" t="s">
        <v>59</v>
      </c>
      <c r="F51" s="3">
        <f t="shared" si="0"/>
        <v>0</v>
      </c>
      <c r="G51" s="3">
        <f t="shared" si="1"/>
        <v>0</v>
      </c>
      <c r="H51" s="3">
        <f t="shared" si="2"/>
        <v>7200</v>
      </c>
      <c r="I51" s="3">
        <f t="shared" si="3"/>
        <v>0</v>
      </c>
      <c r="J51" s="3">
        <f t="shared" si="4"/>
        <v>0</v>
      </c>
      <c r="K51" s="3">
        <f t="shared" si="5"/>
        <v>0</v>
      </c>
      <c r="L51" s="3">
        <f t="shared" si="6"/>
        <v>0</v>
      </c>
    </row>
    <row r="52" spans="3:12" x14ac:dyDescent="0.25">
      <c r="C52">
        <f t="shared" si="7"/>
        <v>110</v>
      </c>
      <c r="D52">
        <v>50</v>
      </c>
      <c r="E52" t="s">
        <v>60</v>
      </c>
      <c r="F52" s="3">
        <f t="shared" si="0"/>
        <v>0</v>
      </c>
      <c r="G52" s="3">
        <f t="shared" si="1"/>
        <v>0</v>
      </c>
      <c r="H52" s="3">
        <f t="shared" si="2"/>
        <v>7200</v>
      </c>
      <c r="I52" s="3">
        <f t="shared" si="3"/>
        <v>0</v>
      </c>
      <c r="J52" s="3">
        <f t="shared" si="4"/>
        <v>0</v>
      </c>
      <c r="K52" s="3">
        <f t="shared" si="5"/>
        <v>0</v>
      </c>
      <c r="L52" s="3">
        <f t="shared" si="6"/>
        <v>0</v>
      </c>
    </row>
    <row r="53" spans="3:12" x14ac:dyDescent="0.25">
      <c r="C53">
        <f t="shared" si="7"/>
        <v>111</v>
      </c>
      <c r="D53">
        <v>51</v>
      </c>
      <c r="E53" t="s">
        <v>61</v>
      </c>
      <c r="F53" s="3">
        <f t="shared" si="0"/>
        <v>0</v>
      </c>
      <c r="G53" s="3">
        <f t="shared" si="1"/>
        <v>0</v>
      </c>
      <c r="H53" s="3">
        <f t="shared" si="2"/>
        <v>7200</v>
      </c>
      <c r="I53" s="3">
        <f t="shared" si="3"/>
        <v>0</v>
      </c>
      <c r="J53" s="3">
        <f t="shared" si="4"/>
        <v>0</v>
      </c>
      <c r="K53" s="3">
        <f t="shared" si="5"/>
        <v>0</v>
      </c>
      <c r="L53" s="3">
        <f t="shared" si="6"/>
        <v>0</v>
      </c>
    </row>
    <row r="54" spans="3:12" x14ac:dyDescent="0.25">
      <c r="C54">
        <f t="shared" si="7"/>
        <v>112</v>
      </c>
      <c r="D54">
        <v>52</v>
      </c>
      <c r="E54" t="s">
        <v>62</v>
      </c>
      <c r="F54" s="3">
        <f t="shared" si="0"/>
        <v>0</v>
      </c>
      <c r="G54" s="3">
        <f t="shared" si="1"/>
        <v>0</v>
      </c>
      <c r="H54" s="3">
        <f t="shared" si="2"/>
        <v>7200</v>
      </c>
      <c r="I54" s="3">
        <f t="shared" si="3"/>
        <v>0</v>
      </c>
      <c r="J54" s="3">
        <f t="shared" si="4"/>
        <v>0</v>
      </c>
      <c r="K54" s="3">
        <f t="shared" si="5"/>
        <v>0</v>
      </c>
      <c r="L54" s="3">
        <f t="shared" si="6"/>
        <v>0</v>
      </c>
    </row>
    <row r="55" spans="3:12" x14ac:dyDescent="0.25">
      <c r="C55">
        <f t="shared" si="7"/>
        <v>113</v>
      </c>
      <c r="D55">
        <v>53</v>
      </c>
      <c r="E55" t="s">
        <v>63</v>
      </c>
      <c r="F55" s="3">
        <f t="shared" si="0"/>
        <v>0</v>
      </c>
      <c r="G55" s="3">
        <f t="shared" si="1"/>
        <v>0</v>
      </c>
      <c r="H55" s="3">
        <f t="shared" si="2"/>
        <v>7200</v>
      </c>
      <c r="I55" s="3">
        <f t="shared" si="3"/>
        <v>0</v>
      </c>
      <c r="J55" s="3">
        <f t="shared" si="4"/>
        <v>0</v>
      </c>
      <c r="K55" s="3">
        <f t="shared" si="5"/>
        <v>0</v>
      </c>
      <c r="L55" s="3">
        <f t="shared" si="6"/>
        <v>0</v>
      </c>
    </row>
    <row r="56" spans="3:12" x14ac:dyDescent="0.25">
      <c r="C56">
        <f t="shared" si="7"/>
        <v>114</v>
      </c>
      <c r="D56">
        <v>54</v>
      </c>
      <c r="E56" t="s">
        <v>64</v>
      </c>
      <c r="F56" s="3">
        <f t="shared" si="0"/>
        <v>0</v>
      </c>
      <c r="G56" s="3">
        <f t="shared" si="1"/>
        <v>0</v>
      </c>
      <c r="H56" s="3">
        <f t="shared" si="2"/>
        <v>7200</v>
      </c>
      <c r="I56" s="3">
        <f t="shared" si="3"/>
        <v>0</v>
      </c>
      <c r="J56" s="3">
        <f t="shared" si="4"/>
        <v>0</v>
      </c>
      <c r="K56" s="3">
        <f t="shared" si="5"/>
        <v>0</v>
      </c>
      <c r="L56" s="3">
        <f t="shared" si="6"/>
        <v>0</v>
      </c>
    </row>
    <row r="57" spans="3:12" x14ac:dyDescent="0.25">
      <c r="C57">
        <f t="shared" si="7"/>
        <v>115</v>
      </c>
      <c r="D57">
        <v>55</v>
      </c>
      <c r="E57" t="s">
        <v>65</v>
      </c>
      <c r="F57" s="3">
        <f t="shared" si="0"/>
        <v>0</v>
      </c>
      <c r="G57" s="3">
        <f t="shared" si="1"/>
        <v>0</v>
      </c>
      <c r="H57" s="3">
        <f t="shared" si="2"/>
        <v>7200</v>
      </c>
      <c r="I57" s="3">
        <f t="shared" si="3"/>
        <v>0</v>
      </c>
      <c r="J57" s="3">
        <f t="shared" si="4"/>
        <v>0</v>
      </c>
      <c r="K57" s="3">
        <f t="shared" si="5"/>
        <v>0</v>
      </c>
      <c r="L57" s="3">
        <f t="shared" si="6"/>
        <v>0</v>
      </c>
    </row>
    <row r="58" spans="3:12" x14ac:dyDescent="0.25">
      <c r="C58">
        <f t="shared" si="7"/>
        <v>116</v>
      </c>
      <c r="D58">
        <v>56</v>
      </c>
      <c r="E58" t="s">
        <v>66</v>
      </c>
      <c r="F58" s="3">
        <f t="shared" si="0"/>
        <v>0</v>
      </c>
      <c r="G58" s="3">
        <f t="shared" si="1"/>
        <v>0</v>
      </c>
      <c r="H58" s="3">
        <f t="shared" si="2"/>
        <v>7200</v>
      </c>
      <c r="I58" s="3">
        <f t="shared" si="3"/>
        <v>0</v>
      </c>
      <c r="J58" s="3">
        <f t="shared" si="4"/>
        <v>0</v>
      </c>
      <c r="K58" s="3">
        <f t="shared" si="5"/>
        <v>0</v>
      </c>
      <c r="L58" s="3">
        <f t="shared" si="6"/>
        <v>0</v>
      </c>
    </row>
    <row r="59" spans="3:12" x14ac:dyDescent="0.25">
      <c r="C59">
        <f t="shared" si="7"/>
        <v>117</v>
      </c>
      <c r="D59">
        <v>57</v>
      </c>
      <c r="E59" t="s">
        <v>67</v>
      </c>
      <c r="F59" s="3">
        <f t="shared" si="0"/>
        <v>0</v>
      </c>
      <c r="G59" s="3">
        <f t="shared" si="1"/>
        <v>0</v>
      </c>
      <c r="H59" s="3">
        <f t="shared" si="2"/>
        <v>7200</v>
      </c>
      <c r="I59" s="3">
        <f t="shared" si="3"/>
        <v>0</v>
      </c>
      <c r="J59" s="3">
        <f t="shared" si="4"/>
        <v>0</v>
      </c>
      <c r="K59" s="3">
        <f t="shared" si="5"/>
        <v>0</v>
      </c>
      <c r="L59" s="3">
        <f t="shared" si="6"/>
        <v>0</v>
      </c>
    </row>
    <row r="60" spans="3:12" x14ac:dyDescent="0.25">
      <c r="C60">
        <f t="shared" si="7"/>
        <v>118</v>
      </c>
      <c r="D60">
        <v>58</v>
      </c>
      <c r="E60" t="s">
        <v>68</v>
      </c>
      <c r="F60" s="3">
        <f t="shared" si="0"/>
        <v>0</v>
      </c>
      <c r="G60" s="3">
        <f t="shared" si="1"/>
        <v>0</v>
      </c>
      <c r="H60" s="3">
        <f t="shared" si="2"/>
        <v>7200</v>
      </c>
      <c r="I60" s="3">
        <f t="shared" si="3"/>
        <v>0</v>
      </c>
      <c r="J60" s="3">
        <f t="shared" si="4"/>
        <v>0</v>
      </c>
      <c r="K60" s="3">
        <f t="shared" si="5"/>
        <v>0</v>
      </c>
      <c r="L60" s="3">
        <f t="shared" si="6"/>
        <v>0</v>
      </c>
    </row>
    <row r="61" spans="3:12" x14ac:dyDescent="0.25">
      <c r="C61">
        <f t="shared" si="7"/>
        <v>119</v>
      </c>
      <c r="D61">
        <v>59</v>
      </c>
      <c r="E61" t="s">
        <v>69</v>
      </c>
      <c r="F61" s="3">
        <f t="shared" si="0"/>
        <v>0</v>
      </c>
      <c r="G61" s="3">
        <f t="shared" si="1"/>
        <v>0</v>
      </c>
      <c r="H61" s="3">
        <f t="shared" si="2"/>
        <v>7200</v>
      </c>
      <c r="I61" s="3">
        <f t="shared" si="3"/>
        <v>0</v>
      </c>
      <c r="J61" s="3">
        <f t="shared" si="4"/>
        <v>0</v>
      </c>
      <c r="K61" s="3">
        <f t="shared" si="5"/>
        <v>0</v>
      </c>
      <c r="L61" s="3">
        <f t="shared" si="6"/>
        <v>0</v>
      </c>
    </row>
    <row r="62" spans="3:12" x14ac:dyDescent="0.25">
      <c r="C62">
        <f t="shared" si="7"/>
        <v>120</v>
      </c>
      <c r="D62">
        <v>60</v>
      </c>
      <c r="E62" t="s">
        <v>70</v>
      </c>
      <c r="F62" s="3">
        <f t="shared" si="0"/>
        <v>0</v>
      </c>
      <c r="G62" s="3">
        <f t="shared" si="1"/>
        <v>0</v>
      </c>
      <c r="H62" s="3">
        <f t="shared" si="2"/>
        <v>7200</v>
      </c>
      <c r="I62" s="3">
        <f t="shared" si="3"/>
        <v>0</v>
      </c>
      <c r="J62" s="3">
        <f t="shared" si="4"/>
        <v>0</v>
      </c>
      <c r="K62" s="3">
        <f t="shared" si="5"/>
        <v>0</v>
      </c>
      <c r="L62" s="3">
        <f t="shared" si="6"/>
        <v>0</v>
      </c>
    </row>
    <row r="63" spans="3:12" x14ac:dyDescent="0.25">
      <c r="C63">
        <f t="shared" si="7"/>
        <v>121</v>
      </c>
      <c r="D63">
        <v>61</v>
      </c>
      <c r="E63" t="s">
        <v>71</v>
      </c>
      <c r="F63" s="3">
        <f t="shared" si="0"/>
        <v>0</v>
      </c>
      <c r="G63" s="3">
        <f t="shared" si="1"/>
        <v>0</v>
      </c>
      <c r="H63" s="3">
        <f t="shared" si="2"/>
        <v>7200</v>
      </c>
      <c r="I63" s="3">
        <f t="shared" si="3"/>
        <v>0</v>
      </c>
      <c r="J63" s="3">
        <f t="shared" si="4"/>
        <v>0</v>
      </c>
      <c r="K63" s="3">
        <f t="shared" si="5"/>
        <v>0</v>
      </c>
      <c r="L63" s="3">
        <f t="shared" si="6"/>
        <v>0</v>
      </c>
    </row>
    <row r="64" spans="3:12" x14ac:dyDescent="0.25">
      <c r="C64">
        <f t="shared" si="7"/>
        <v>122</v>
      </c>
      <c r="D64">
        <v>62</v>
      </c>
      <c r="E64" t="s">
        <v>72</v>
      </c>
      <c r="F64" s="3">
        <f t="shared" si="0"/>
        <v>0</v>
      </c>
      <c r="G64" s="3">
        <f t="shared" si="1"/>
        <v>0</v>
      </c>
      <c r="H64" s="3">
        <f t="shared" si="2"/>
        <v>7200</v>
      </c>
      <c r="I64" s="3">
        <f t="shared" si="3"/>
        <v>0</v>
      </c>
      <c r="J64" s="3">
        <f t="shared" si="4"/>
        <v>0</v>
      </c>
      <c r="K64" s="3">
        <f t="shared" si="5"/>
        <v>0</v>
      </c>
      <c r="L64" s="3">
        <f t="shared" si="6"/>
        <v>0</v>
      </c>
    </row>
    <row r="65" spans="3:12" x14ac:dyDescent="0.25">
      <c r="C65">
        <f t="shared" si="7"/>
        <v>123</v>
      </c>
      <c r="D65">
        <v>63</v>
      </c>
      <c r="E65" t="s">
        <v>73</v>
      </c>
      <c r="F65" s="3">
        <f t="shared" si="0"/>
        <v>0</v>
      </c>
      <c r="G65" s="3">
        <f t="shared" si="1"/>
        <v>0</v>
      </c>
      <c r="H65" s="3">
        <f t="shared" si="2"/>
        <v>7200</v>
      </c>
      <c r="I65" s="3">
        <f t="shared" si="3"/>
        <v>0</v>
      </c>
      <c r="J65" s="3">
        <f t="shared" si="4"/>
        <v>0</v>
      </c>
      <c r="K65" s="3">
        <f t="shared" si="5"/>
        <v>0</v>
      </c>
      <c r="L65" s="3">
        <f t="shared" si="6"/>
        <v>0</v>
      </c>
    </row>
    <row r="66" spans="3:12" x14ac:dyDescent="0.25">
      <c r="C66">
        <f t="shared" si="7"/>
        <v>124</v>
      </c>
      <c r="D66">
        <v>64</v>
      </c>
      <c r="E66" t="s">
        <v>74</v>
      </c>
      <c r="F66" s="3">
        <f t="shared" si="0"/>
        <v>0</v>
      </c>
      <c r="G66" s="3">
        <f t="shared" si="1"/>
        <v>0</v>
      </c>
      <c r="H66" s="3">
        <f t="shared" si="2"/>
        <v>7200</v>
      </c>
      <c r="I66" s="3">
        <f t="shared" si="3"/>
        <v>0</v>
      </c>
      <c r="J66" s="3">
        <f t="shared" si="4"/>
        <v>0</v>
      </c>
      <c r="K66" s="3">
        <f t="shared" si="5"/>
        <v>0</v>
      </c>
      <c r="L66" s="3">
        <f t="shared" si="6"/>
        <v>0</v>
      </c>
    </row>
    <row r="67" spans="3:12" x14ac:dyDescent="0.25">
      <c r="C67">
        <f t="shared" si="7"/>
        <v>125</v>
      </c>
      <c r="D67">
        <v>65</v>
      </c>
      <c r="E67" t="s">
        <v>75</v>
      </c>
      <c r="F67" s="3">
        <f t="shared" ref="F67:F75" si="8">IF(AND($B$6+D67-1&gt;=$B$9, $B$6+D67-1&lt;$B$9+$B$3), 15000, 0)</f>
        <v>0</v>
      </c>
      <c r="G67" s="3">
        <f t="shared" si="1"/>
        <v>0</v>
      </c>
      <c r="H67" s="3">
        <f t="shared" si="2"/>
        <v>7200</v>
      </c>
      <c r="I67" s="3">
        <f t="shared" si="3"/>
        <v>0</v>
      </c>
      <c r="J67" s="3">
        <f t="shared" si="4"/>
        <v>0</v>
      </c>
      <c r="K67" s="3">
        <f t="shared" si="5"/>
        <v>0</v>
      </c>
      <c r="L67" s="3">
        <f t="shared" si="6"/>
        <v>0</v>
      </c>
    </row>
    <row r="68" spans="3:12" x14ac:dyDescent="0.25">
      <c r="C68">
        <f t="shared" si="7"/>
        <v>126</v>
      </c>
      <c r="D68">
        <v>66</v>
      </c>
      <c r="E68" t="s">
        <v>76</v>
      </c>
      <c r="F68" s="3">
        <f t="shared" si="8"/>
        <v>0</v>
      </c>
      <c r="G68" s="3">
        <f t="shared" ref="G68:G75" si="9">IF($C$3&gt;=65,IF(C68&gt;94,0,25000+((D68-1)*1000)),IF(OR(C68&lt;65,C68&gt;94),0,25000+((C68-65)*1000)))</f>
        <v>0</v>
      </c>
      <c r="H68" s="3">
        <f t="shared" ref="H68:H73" si="10">IF(C68&lt;$B$9,0,7200)</f>
        <v>7200</v>
      </c>
      <c r="I68" s="3">
        <f t="shared" ref="I68:I75" si="11">IF(OR(C68&lt;60, C68&gt;100), 0, C68*1000)</f>
        <v>0</v>
      </c>
      <c r="J68" s="3">
        <f t="shared" ref="J68:J75" si="12">IF(C68&lt;$B$9, 0, IF(C68&lt;$B$9+($B$3/2), 19000, IF(C68&lt;$B$9+$B$3,25000,0)))</f>
        <v>0</v>
      </c>
      <c r="K68" s="3">
        <f t="shared" ref="K68:K75" si="13">IF(OR(C68&lt;$B$9,C68&gt;$B$9+$B$3-1),0,100000/$B$3)</f>
        <v>0</v>
      </c>
      <c r="L68" s="3">
        <f t="shared" ref="L68:L75" si="14">IF(OR(C68=$B$9, AND(ISEVEN(C68-$B$9), C68&gt;$B$9, C68&lt;($B$9+$B$3))),30000,0)</f>
        <v>0</v>
      </c>
    </row>
    <row r="69" spans="3:12" x14ac:dyDescent="0.25">
      <c r="C69">
        <f t="shared" ref="C69:C75" si="15">C68+1</f>
        <v>127</v>
      </c>
      <c r="D69">
        <v>67</v>
      </c>
      <c r="E69" t="s">
        <v>77</v>
      </c>
      <c r="F69" s="3">
        <f t="shared" si="8"/>
        <v>0</v>
      </c>
      <c r="G69" s="3">
        <f t="shared" si="9"/>
        <v>0</v>
      </c>
      <c r="H69" s="3">
        <f t="shared" si="10"/>
        <v>7200</v>
      </c>
      <c r="I69" s="3">
        <f t="shared" si="11"/>
        <v>0</v>
      </c>
      <c r="J69" s="3">
        <f t="shared" si="12"/>
        <v>0</v>
      </c>
      <c r="K69" s="3">
        <f t="shared" si="13"/>
        <v>0</v>
      </c>
      <c r="L69" s="3">
        <f t="shared" si="14"/>
        <v>0</v>
      </c>
    </row>
    <row r="70" spans="3:12" x14ac:dyDescent="0.25">
      <c r="C70">
        <f t="shared" si="15"/>
        <v>128</v>
      </c>
      <c r="D70">
        <v>68</v>
      </c>
      <c r="E70" t="s">
        <v>78</v>
      </c>
      <c r="F70" s="3">
        <f t="shared" si="8"/>
        <v>0</v>
      </c>
      <c r="G70" s="3">
        <f t="shared" si="9"/>
        <v>0</v>
      </c>
      <c r="H70" s="3">
        <f t="shared" si="10"/>
        <v>7200</v>
      </c>
      <c r="I70" s="3">
        <f t="shared" si="11"/>
        <v>0</v>
      </c>
      <c r="J70" s="3">
        <f t="shared" si="12"/>
        <v>0</v>
      </c>
      <c r="K70" s="3">
        <f t="shared" si="13"/>
        <v>0</v>
      </c>
      <c r="L70" s="3">
        <f t="shared" si="14"/>
        <v>0</v>
      </c>
    </row>
    <row r="71" spans="3:12" x14ac:dyDescent="0.25">
      <c r="C71">
        <f t="shared" si="15"/>
        <v>129</v>
      </c>
      <c r="D71">
        <v>69</v>
      </c>
      <c r="E71" t="s">
        <v>79</v>
      </c>
      <c r="F71" s="3">
        <f t="shared" si="8"/>
        <v>0</v>
      </c>
      <c r="G71" s="3">
        <f t="shared" si="9"/>
        <v>0</v>
      </c>
      <c r="H71" s="3">
        <f t="shared" si="10"/>
        <v>7200</v>
      </c>
      <c r="I71" s="3">
        <f t="shared" si="11"/>
        <v>0</v>
      </c>
      <c r="J71" s="3">
        <f t="shared" si="12"/>
        <v>0</v>
      </c>
      <c r="K71" s="3">
        <f t="shared" si="13"/>
        <v>0</v>
      </c>
      <c r="L71" s="3">
        <f t="shared" si="14"/>
        <v>0</v>
      </c>
    </row>
    <row r="72" spans="3:12" x14ac:dyDescent="0.25">
      <c r="C72">
        <f t="shared" si="15"/>
        <v>130</v>
      </c>
      <c r="D72">
        <v>70</v>
      </c>
      <c r="E72" t="s">
        <v>80</v>
      </c>
      <c r="F72" s="3">
        <f t="shared" si="8"/>
        <v>0</v>
      </c>
      <c r="G72" s="3">
        <f t="shared" si="9"/>
        <v>0</v>
      </c>
      <c r="H72" s="3">
        <f t="shared" si="10"/>
        <v>7200</v>
      </c>
      <c r="I72" s="3">
        <f t="shared" si="11"/>
        <v>0</v>
      </c>
      <c r="J72" s="3">
        <f t="shared" si="12"/>
        <v>0</v>
      </c>
      <c r="K72" s="3">
        <f t="shared" si="13"/>
        <v>0</v>
      </c>
      <c r="L72" s="3">
        <f t="shared" si="14"/>
        <v>0</v>
      </c>
    </row>
    <row r="73" spans="3:12" x14ac:dyDescent="0.25">
      <c r="C73">
        <f t="shared" si="15"/>
        <v>131</v>
      </c>
      <c r="D73">
        <v>71</v>
      </c>
      <c r="E73" t="s">
        <v>81</v>
      </c>
      <c r="F73" s="3">
        <f t="shared" si="8"/>
        <v>0</v>
      </c>
      <c r="G73" s="3">
        <f t="shared" si="9"/>
        <v>0</v>
      </c>
      <c r="H73" s="3">
        <f t="shared" si="10"/>
        <v>7200</v>
      </c>
      <c r="I73" s="3">
        <f t="shared" si="11"/>
        <v>0</v>
      </c>
      <c r="J73" s="3">
        <f t="shared" si="12"/>
        <v>0</v>
      </c>
      <c r="K73" s="3">
        <f t="shared" si="13"/>
        <v>0</v>
      </c>
      <c r="L73" s="3">
        <f t="shared" si="14"/>
        <v>0</v>
      </c>
    </row>
    <row r="74" spans="3:12" x14ac:dyDescent="0.25">
      <c r="C74">
        <f t="shared" si="15"/>
        <v>132</v>
      </c>
      <c r="D74">
        <v>72</v>
      </c>
      <c r="E74" t="s">
        <v>82</v>
      </c>
      <c r="F74" s="3">
        <f t="shared" si="8"/>
        <v>0</v>
      </c>
      <c r="G74" s="3">
        <f t="shared" si="9"/>
        <v>0</v>
      </c>
      <c r="H74" s="3">
        <v>0</v>
      </c>
      <c r="I74" s="3">
        <f t="shared" si="11"/>
        <v>0</v>
      </c>
      <c r="J74" s="3">
        <f t="shared" si="12"/>
        <v>0</v>
      </c>
      <c r="K74" s="3">
        <f t="shared" si="13"/>
        <v>0</v>
      </c>
      <c r="L74" s="3">
        <f t="shared" si="14"/>
        <v>0</v>
      </c>
    </row>
    <row r="75" spans="3:12" x14ac:dyDescent="0.25">
      <c r="C75">
        <f t="shared" si="15"/>
        <v>133</v>
      </c>
      <c r="D75">
        <v>73</v>
      </c>
      <c r="E75" t="s">
        <v>83</v>
      </c>
      <c r="F75" s="3">
        <f t="shared" si="8"/>
        <v>0</v>
      </c>
      <c r="G75" s="3">
        <f t="shared" si="9"/>
        <v>0</v>
      </c>
      <c r="H75" s="3">
        <v>0</v>
      </c>
      <c r="I75" s="3">
        <f t="shared" si="11"/>
        <v>0</v>
      </c>
      <c r="J75" s="3">
        <f t="shared" si="12"/>
        <v>0</v>
      </c>
      <c r="K75" s="3">
        <f t="shared" si="13"/>
        <v>0</v>
      </c>
      <c r="L75" s="3">
        <f t="shared" si="14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087E9-DD78-417E-88F5-BE5AA9151973}">
  <sheetPr codeName="Sheet3"/>
  <dimension ref="A1:BX101"/>
  <sheetViews>
    <sheetView tabSelected="1" workbookViewId="0">
      <selection activeCell="F1" sqref="F1:BX1"/>
    </sheetView>
  </sheetViews>
  <sheetFormatPr defaultRowHeight="15" x14ac:dyDescent="0.25"/>
  <cols>
    <col min="1" max="1" width="12" bestFit="1" customWidth="1"/>
    <col min="2" max="2" width="8.42578125" customWidth="1"/>
    <col min="3" max="3" width="11.5703125" bestFit="1" customWidth="1"/>
    <col min="4" max="4" width="19.28515625" bestFit="1" customWidth="1"/>
    <col min="5" max="5" width="16.5703125" bestFit="1" customWidth="1"/>
  </cols>
  <sheetData>
    <row r="1" spans="1:76" x14ac:dyDescent="0.25">
      <c r="A1" s="13" t="s">
        <v>194</v>
      </c>
      <c r="B1" s="13" t="s">
        <v>193</v>
      </c>
      <c r="C1" s="13" t="s">
        <v>1</v>
      </c>
      <c r="D1" s="13" t="s">
        <v>192</v>
      </c>
      <c r="E1" s="13" t="s">
        <v>8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  <c r="AK1">
        <v>32</v>
      </c>
      <c r="AL1">
        <v>33</v>
      </c>
      <c r="AM1">
        <v>34</v>
      </c>
      <c r="AN1">
        <v>35</v>
      </c>
      <c r="AO1">
        <v>36</v>
      </c>
      <c r="AP1">
        <v>37</v>
      </c>
      <c r="AQ1">
        <v>38</v>
      </c>
      <c r="AR1">
        <v>39</v>
      </c>
      <c r="AS1">
        <v>40</v>
      </c>
      <c r="AT1">
        <v>41</v>
      </c>
      <c r="AU1">
        <v>42</v>
      </c>
      <c r="AV1">
        <v>43</v>
      </c>
      <c r="AW1">
        <v>44</v>
      </c>
      <c r="AX1">
        <v>45</v>
      </c>
      <c r="AY1">
        <v>46</v>
      </c>
      <c r="AZ1">
        <v>47</v>
      </c>
      <c r="BA1">
        <v>48</v>
      </c>
      <c r="BB1">
        <v>49</v>
      </c>
      <c r="BC1">
        <v>50</v>
      </c>
      <c r="BD1">
        <v>51</v>
      </c>
      <c r="BE1">
        <v>52</v>
      </c>
      <c r="BF1">
        <v>53</v>
      </c>
      <c r="BG1">
        <v>54</v>
      </c>
      <c r="BH1">
        <v>55</v>
      </c>
      <c r="BI1">
        <v>56</v>
      </c>
      <c r="BJ1">
        <v>57</v>
      </c>
      <c r="BK1">
        <v>58</v>
      </c>
      <c r="BL1">
        <v>59</v>
      </c>
      <c r="BM1">
        <v>60</v>
      </c>
      <c r="BN1">
        <v>61</v>
      </c>
      <c r="BO1">
        <v>62</v>
      </c>
      <c r="BP1">
        <v>63</v>
      </c>
      <c r="BQ1">
        <v>64</v>
      </c>
      <c r="BR1">
        <v>65</v>
      </c>
      <c r="BS1">
        <v>66</v>
      </c>
      <c r="BT1">
        <v>67</v>
      </c>
      <c r="BU1">
        <v>68</v>
      </c>
      <c r="BV1">
        <v>69</v>
      </c>
      <c r="BW1">
        <v>70</v>
      </c>
      <c r="BX1">
        <v>71</v>
      </c>
    </row>
    <row r="2" spans="1:76" x14ac:dyDescent="0.25">
      <c r="A2" s="1" t="s">
        <v>191</v>
      </c>
      <c r="B2" s="1">
        <v>5</v>
      </c>
      <c r="C2" s="1">
        <v>60</v>
      </c>
      <c r="D2" s="1">
        <v>67</v>
      </c>
      <c r="E2" s="1">
        <v>19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19000</v>
      </c>
      <c r="N2">
        <v>19000</v>
      </c>
      <c r="O2">
        <v>19000</v>
      </c>
      <c r="P2">
        <v>19000</v>
      </c>
      <c r="Q2">
        <v>19000</v>
      </c>
      <c r="R2">
        <v>19000</v>
      </c>
      <c r="S2">
        <v>19000</v>
      </c>
      <c r="T2">
        <v>19000</v>
      </c>
      <c r="U2">
        <v>19000</v>
      </c>
      <c r="V2">
        <v>19000</v>
      </c>
      <c r="W2">
        <v>25000</v>
      </c>
      <c r="X2">
        <v>25000</v>
      </c>
      <c r="Y2">
        <v>25000</v>
      </c>
      <c r="Z2">
        <v>25000</v>
      </c>
      <c r="AA2">
        <v>25000</v>
      </c>
      <c r="AB2">
        <v>25000</v>
      </c>
      <c r="AC2">
        <v>25000</v>
      </c>
      <c r="AD2">
        <v>25000</v>
      </c>
      <c r="AE2">
        <v>25000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</row>
    <row r="3" spans="1:76" x14ac:dyDescent="0.25">
      <c r="A3" s="1" t="s">
        <v>190</v>
      </c>
      <c r="B3" s="1">
        <v>4</v>
      </c>
      <c r="C3" s="1">
        <v>50</v>
      </c>
      <c r="D3" s="1"/>
      <c r="E3" s="1"/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60000</v>
      </c>
      <c r="Q3">
        <v>61000</v>
      </c>
      <c r="R3">
        <v>62000</v>
      </c>
      <c r="S3">
        <v>63000</v>
      </c>
      <c r="T3">
        <v>64000</v>
      </c>
      <c r="U3">
        <v>65000</v>
      </c>
      <c r="V3">
        <v>66000</v>
      </c>
      <c r="W3">
        <v>67000</v>
      </c>
      <c r="X3">
        <v>68000</v>
      </c>
      <c r="Y3">
        <v>69000</v>
      </c>
      <c r="Z3">
        <v>70000</v>
      </c>
      <c r="AA3">
        <v>71000</v>
      </c>
      <c r="AB3">
        <v>72000</v>
      </c>
      <c r="AC3">
        <v>73000</v>
      </c>
      <c r="AD3">
        <v>74000</v>
      </c>
      <c r="AE3">
        <v>75000</v>
      </c>
      <c r="AF3">
        <v>76000</v>
      </c>
      <c r="AG3">
        <v>77000</v>
      </c>
      <c r="AH3">
        <v>78000</v>
      </c>
      <c r="AI3">
        <v>79000</v>
      </c>
      <c r="AJ3">
        <v>80000</v>
      </c>
      <c r="AK3">
        <v>81000</v>
      </c>
      <c r="AL3">
        <v>82000</v>
      </c>
      <c r="AM3">
        <v>83000</v>
      </c>
      <c r="AN3">
        <v>84000</v>
      </c>
      <c r="AO3">
        <v>85000</v>
      </c>
      <c r="AP3">
        <v>86000</v>
      </c>
      <c r="AQ3">
        <v>87000</v>
      </c>
      <c r="AR3">
        <v>88000</v>
      </c>
      <c r="AS3">
        <v>89000</v>
      </c>
      <c r="AT3">
        <v>90000</v>
      </c>
      <c r="AU3">
        <v>91000</v>
      </c>
      <c r="AV3">
        <v>92000</v>
      </c>
      <c r="AW3">
        <v>93000</v>
      </c>
      <c r="AX3">
        <v>94000</v>
      </c>
      <c r="AY3">
        <v>95000</v>
      </c>
      <c r="AZ3">
        <v>96000</v>
      </c>
      <c r="BA3">
        <v>97000</v>
      </c>
      <c r="BB3">
        <v>98000</v>
      </c>
      <c r="BC3">
        <v>99000</v>
      </c>
      <c r="BD3">
        <v>100000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</row>
    <row r="4" spans="1:76" x14ac:dyDescent="0.25">
      <c r="A4" s="1" t="s">
        <v>189</v>
      </c>
      <c r="B4" s="1">
        <v>3</v>
      </c>
      <c r="C4" s="1">
        <v>40</v>
      </c>
      <c r="D4" s="1">
        <v>50</v>
      </c>
      <c r="E4" s="1"/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7200</v>
      </c>
      <c r="Q4">
        <v>7200</v>
      </c>
      <c r="R4">
        <v>7200</v>
      </c>
      <c r="S4">
        <v>7200</v>
      </c>
      <c r="T4">
        <v>7200</v>
      </c>
      <c r="U4">
        <v>7200</v>
      </c>
      <c r="V4">
        <v>7200</v>
      </c>
      <c r="W4">
        <v>7200</v>
      </c>
      <c r="X4">
        <v>7200</v>
      </c>
      <c r="Y4">
        <v>7200</v>
      </c>
      <c r="Z4">
        <v>7200</v>
      </c>
      <c r="AA4">
        <v>7200</v>
      </c>
      <c r="AB4">
        <v>7200</v>
      </c>
      <c r="AC4">
        <v>7200</v>
      </c>
      <c r="AD4">
        <v>7200</v>
      </c>
      <c r="AE4">
        <v>7200</v>
      </c>
      <c r="AF4">
        <v>7200</v>
      </c>
      <c r="AG4">
        <v>7200</v>
      </c>
      <c r="AH4">
        <v>7200</v>
      </c>
      <c r="AI4">
        <v>7200</v>
      </c>
      <c r="AJ4">
        <v>7200</v>
      </c>
      <c r="AK4">
        <v>7200</v>
      </c>
      <c r="AL4">
        <v>7200</v>
      </c>
      <c r="AM4">
        <v>7200</v>
      </c>
      <c r="AN4">
        <v>7200</v>
      </c>
      <c r="AO4">
        <v>7200</v>
      </c>
      <c r="AP4">
        <v>7200</v>
      </c>
      <c r="AQ4">
        <v>7200</v>
      </c>
      <c r="AR4">
        <v>7200</v>
      </c>
      <c r="AS4">
        <v>7200</v>
      </c>
      <c r="AT4">
        <v>7200</v>
      </c>
      <c r="AU4">
        <v>7200</v>
      </c>
      <c r="AV4">
        <v>7200</v>
      </c>
      <c r="AW4">
        <v>7200</v>
      </c>
      <c r="AX4">
        <v>7200</v>
      </c>
      <c r="AY4">
        <v>7200</v>
      </c>
      <c r="AZ4">
        <v>7200</v>
      </c>
      <c r="BA4">
        <v>7200</v>
      </c>
      <c r="BB4">
        <v>7200</v>
      </c>
      <c r="BC4">
        <v>7200</v>
      </c>
      <c r="BD4">
        <v>7200</v>
      </c>
      <c r="BE4">
        <v>7200</v>
      </c>
      <c r="BF4">
        <v>7200</v>
      </c>
      <c r="BG4">
        <v>7200</v>
      </c>
      <c r="BH4">
        <v>7200</v>
      </c>
      <c r="BI4">
        <v>7200</v>
      </c>
      <c r="BJ4">
        <v>7200</v>
      </c>
      <c r="BK4">
        <v>7200</v>
      </c>
      <c r="BL4">
        <v>7200</v>
      </c>
      <c r="BM4">
        <v>7200</v>
      </c>
      <c r="BN4">
        <v>7200</v>
      </c>
      <c r="BO4">
        <v>7200</v>
      </c>
      <c r="BP4">
        <v>7200</v>
      </c>
      <c r="BQ4">
        <v>7200</v>
      </c>
      <c r="BR4">
        <v>7200</v>
      </c>
      <c r="BS4">
        <v>7200</v>
      </c>
      <c r="BT4">
        <v>7200</v>
      </c>
      <c r="BU4">
        <v>7200</v>
      </c>
      <c r="BV4">
        <v>7200</v>
      </c>
      <c r="BW4">
        <v>7200</v>
      </c>
      <c r="BX4">
        <v>7200</v>
      </c>
    </row>
    <row r="5" spans="1:76" x14ac:dyDescent="0.25">
      <c r="A5" s="1" t="s">
        <v>188</v>
      </c>
      <c r="B5" s="1">
        <v>1</v>
      </c>
      <c r="C5" s="1">
        <v>45</v>
      </c>
      <c r="D5" s="1">
        <v>48</v>
      </c>
      <c r="E5" s="1">
        <v>18</v>
      </c>
      <c r="F5">
        <v>0</v>
      </c>
      <c r="G5">
        <v>0</v>
      </c>
      <c r="H5">
        <v>0</v>
      </c>
      <c r="I5">
        <v>15000</v>
      </c>
      <c r="J5">
        <v>15000</v>
      </c>
      <c r="K5">
        <v>15000</v>
      </c>
      <c r="L5">
        <v>15000</v>
      </c>
      <c r="M5">
        <v>15000</v>
      </c>
      <c r="N5">
        <v>15000</v>
      </c>
      <c r="O5">
        <v>15000</v>
      </c>
      <c r="P5">
        <v>15000</v>
      </c>
      <c r="Q5">
        <v>15000</v>
      </c>
      <c r="R5">
        <v>15000</v>
      </c>
      <c r="S5">
        <v>15000</v>
      </c>
      <c r="T5">
        <v>15000</v>
      </c>
      <c r="U5">
        <v>15000</v>
      </c>
      <c r="V5">
        <v>15000</v>
      </c>
      <c r="W5">
        <v>15000</v>
      </c>
      <c r="X5">
        <v>15000</v>
      </c>
      <c r="Y5">
        <v>15000</v>
      </c>
      <c r="Z5">
        <v>15000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</row>
    <row r="6" spans="1:76" x14ac:dyDescent="0.25">
      <c r="A6" s="1" t="s">
        <v>187</v>
      </c>
      <c r="B6" s="1">
        <v>2</v>
      </c>
      <c r="C6" s="1">
        <v>52</v>
      </c>
      <c r="D6" s="12"/>
      <c r="E6" s="12"/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25000</v>
      </c>
      <c r="T6">
        <v>26000</v>
      </c>
      <c r="U6">
        <v>27000</v>
      </c>
      <c r="V6">
        <v>28000</v>
      </c>
      <c r="W6">
        <v>29000</v>
      </c>
      <c r="X6">
        <v>30000</v>
      </c>
      <c r="Y6">
        <v>31000</v>
      </c>
      <c r="Z6">
        <v>32000</v>
      </c>
      <c r="AA6">
        <v>33000</v>
      </c>
      <c r="AB6">
        <v>34000</v>
      </c>
      <c r="AC6">
        <v>35000</v>
      </c>
      <c r="AD6">
        <v>36000</v>
      </c>
      <c r="AE6">
        <v>37000</v>
      </c>
      <c r="AF6">
        <v>38000</v>
      </c>
      <c r="AG6">
        <v>39000</v>
      </c>
      <c r="AH6">
        <v>40000</v>
      </c>
      <c r="AI6">
        <v>41000</v>
      </c>
      <c r="AJ6">
        <v>42000</v>
      </c>
      <c r="AK6">
        <v>43000</v>
      </c>
      <c r="AL6">
        <v>44000</v>
      </c>
      <c r="AM6">
        <v>45000</v>
      </c>
      <c r="AN6">
        <v>46000</v>
      </c>
      <c r="AO6">
        <v>47000</v>
      </c>
      <c r="AP6">
        <v>48000</v>
      </c>
      <c r="AQ6">
        <v>49000</v>
      </c>
      <c r="AR6">
        <v>50000</v>
      </c>
      <c r="AS6">
        <v>51000</v>
      </c>
      <c r="AT6">
        <v>52000</v>
      </c>
      <c r="AU6">
        <v>53000</v>
      </c>
      <c r="AV6">
        <v>54000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</row>
    <row r="7" spans="1:76" x14ac:dyDescent="0.25">
      <c r="A7" s="1" t="s">
        <v>186</v>
      </c>
      <c r="B7" s="1">
        <v>2</v>
      </c>
      <c r="C7" s="1">
        <v>63</v>
      </c>
      <c r="D7" s="12"/>
      <c r="E7" s="12"/>
      <c r="F7">
        <v>0</v>
      </c>
      <c r="G7">
        <v>0</v>
      </c>
      <c r="H7">
        <v>25000</v>
      </c>
      <c r="I7">
        <v>26000</v>
      </c>
      <c r="J7">
        <v>27000</v>
      </c>
      <c r="K7">
        <v>28000</v>
      </c>
      <c r="L7">
        <v>29000</v>
      </c>
      <c r="M7">
        <v>30000</v>
      </c>
      <c r="N7">
        <v>31000</v>
      </c>
      <c r="O7">
        <v>32000</v>
      </c>
      <c r="P7">
        <v>33000</v>
      </c>
      <c r="Q7">
        <v>34000</v>
      </c>
      <c r="R7">
        <v>35000</v>
      </c>
      <c r="S7">
        <v>36000</v>
      </c>
      <c r="T7">
        <v>37000</v>
      </c>
      <c r="U7">
        <v>38000</v>
      </c>
      <c r="V7">
        <v>39000</v>
      </c>
      <c r="W7">
        <v>40000</v>
      </c>
      <c r="X7">
        <v>41000</v>
      </c>
      <c r="Y7">
        <v>42000</v>
      </c>
      <c r="Z7">
        <v>43000</v>
      </c>
      <c r="AA7">
        <v>44000</v>
      </c>
      <c r="AB7">
        <v>45000</v>
      </c>
      <c r="AC7">
        <v>46000</v>
      </c>
      <c r="AD7">
        <v>47000</v>
      </c>
      <c r="AE7">
        <v>48000</v>
      </c>
      <c r="AF7">
        <v>49000</v>
      </c>
      <c r="AG7">
        <v>50000</v>
      </c>
      <c r="AH7">
        <v>51000</v>
      </c>
      <c r="AI7">
        <v>52000</v>
      </c>
      <c r="AJ7">
        <v>53000</v>
      </c>
      <c r="AK7">
        <v>54000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</row>
    <row r="8" spans="1:76" x14ac:dyDescent="0.25">
      <c r="A8" s="1" t="s">
        <v>185</v>
      </c>
      <c r="B8" s="1">
        <v>4</v>
      </c>
      <c r="C8" s="1">
        <v>64</v>
      </c>
      <c r="D8" s="12"/>
      <c r="E8" s="12"/>
      <c r="F8">
        <v>64000</v>
      </c>
      <c r="G8">
        <v>65000</v>
      </c>
      <c r="H8">
        <v>66000</v>
      </c>
      <c r="I8">
        <v>67000</v>
      </c>
      <c r="J8">
        <v>68000</v>
      </c>
      <c r="K8">
        <v>69000</v>
      </c>
      <c r="L8">
        <v>70000</v>
      </c>
      <c r="M8">
        <v>71000</v>
      </c>
      <c r="N8">
        <v>72000</v>
      </c>
      <c r="O8">
        <v>73000</v>
      </c>
      <c r="P8">
        <v>74000</v>
      </c>
      <c r="Q8">
        <v>75000</v>
      </c>
      <c r="R8">
        <v>76000</v>
      </c>
      <c r="S8">
        <v>77000</v>
      </c>
      <c r="T8">
        <v>78000</v>
      </c>
      <c r="U8">
        <v>79000</v>
      </c>
      <c r="V8">
        <v>80000</v>
      </c>
      <c r="W8">
        <v>81000</v>
      </c>
      <c r="X8">
        <v>82000</v>
      </c>
      <c r="Y8">
        <v>83000</v>
      </c>
      <c r="Z8">
        <v>84000</v>
      </c>
      <c r="AA8">
        <v>85000</v>
      </c>
      <c r="AB8">
        <v>86000</v>
      </c>
      <c r="AC8">
        <v>87000</v>
      </c>
      <c r="AD8">
        <v>88000</v>
      </c>
      <c r="AE8">
        <v>89000</v>
      </c>
      <c r="AF8">
        <v>90000</v>
      </c>
      <c r="AG8">
        <v>91000</v>
      </c>
      <c r="AH8">
        <v>92000</v>
      </c>
      <c r="AI8">
        <v>93000</v>
      </c>
      <c r="AJ8">
        <v>94000</v>
      </c>
      <c r="AK8">
        <v>95000</v>
      </c>
      <c r="AL8">
        <v>96000</v>
      </c>
      <c r="AM8">
        <v>97000</v>
      </c>
      <c r="AN8">
        <v>98000</v>
      </c>
      <c r="AO8">
        <v>99000</v>
      </c>
      <c r="AP8">
        <v>100000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</row>
    <row r="9" spans="1:76" x14ac:dyDescent="0.25">
      <c r="A9" s="1" t="s">
        <v>184</v>
      </c>
      <c r="B9" s="1">
        <v>3</v>
      </c>
      <c r="C9" s="1">
        <v>48</v>
      </c>
      <c r="D9" s="12">
        <v>60</v>
      </c>
      <c r="E9" s="12"/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7200</v>
      </c>
      <c r="S9">
        <v>7200</v>
      </c>
      <c r="T9">
        <v>7200</v>
      </c>
      <c r="U9">
        <v>7200</v>
      </c>
      <c r="V9">
        <v>7200</v>
      </c>
      <c r="W9">
        <v>7200</v>
      </c>
      <c r="X9">
        <v>7200</v>
      </c>
      <c r="Y9">
        <v>7200</v>
      </c>
      <c r="Z9">
        <v>7200</v>
      </c>
      <c r="AA9">
        <v>7200</v>
      </c>
      <c r="AB9">
        <v>7200</v>
      </c>
      <c r="AC9">
        <v>7200</v>
      </c>
      <c r="AD9">
        <v>7200</v>
      </c>
      <c r="AE9">
        <v>7200</v>
      </c>
      <c r="AF9">
        <v>7200</v>
      </c>
      <c r="AG9">
        <v>7200</v>
      </c>
      <c r="AH9">
        <v>7200</v>
      </c>
      <c r="AI9">
        <v>7200</v>
      </c>
      <c r="AJ9">
        <v>7200</v>
      </c>
      <c r="AK9">
        <v>7200</v>
      </c>
      <c r="AL9">
        <v>7200</v>
      </c>
      <c r="AM9">
        <v>7200</v>
      </c>
      <c r="AN9">
        <v>7200</v>
      </c>
      <c r="AO9">
        <v>7200</v>
      </c>
      <c r="AP9">
        <v>7200</v>
      </c>
      <c r="AQ9">
        <v>7200</v>
      </c>
      <c r="AR9">
        <v>7200</v>
      </c>
      <c r="AS9">
        <v>7200</v>
      </c>
      <c r="AT9">
        <v>7200</v>
      </c>
      <c r="AU9">
        <v>7200</v>
      </c>
      <c r="AV9">
        <v>7200</v>
      </c>
      <c r="AW9">
        <v>7200</v>
      </c>
      <c r="AX9">
        <v>7200</v>
      </c>
      <c r="AY9">
        <v>7200</v>
      </c>
      <c r="AZ9">
        <v>7200</v>
      </c>
      <c r="BA9">
        <v>7200</v>
      </c>
      <c r="BB9">
        <v>7200</v>
      </c>
      <c r="BC9">
        <v>7200</v>
      </c>
      <c r="BD9">
        <v>7200</v>
      </c>
      <c r="BE9">
        <v>7200</v>
      </c>
      <c r="BF9">
        <v>7200</v>
      </c>
      <c r="BG9">
        <v>7200</v>
      </c>
      <c r="BH9">
        <v>7200</v>
      </c>
      <c r="BI9">
        <v>7200</v>
      </c>
      <c r="BJ9">
        <v>7200</v>
      </c>
      <c r="BK9">
        <v>7200</v>
      </c>
      <c r="BL9">
        <v>7200</v>
      </c>
      <c r="BM9">
        <v>7200</v>
      </c>
      <c r="BN9">
        <v>7200</v>
      </c>
      <c r="BO9">
        <v>7200</v>
      </c>
      <c r="BP9">
        <v>7200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</row>
    <row r="10" spans="1:76" x14ac:dyDescent="0.25">
      <c r="A10" s="1" t="s">
        <v>183</v>
      </c>
      <c r="B10" s="1">
        <v>4</v>
      </c>
      <c r="C10" s="1">
        <v>46</v>
      </c>
      <c r="D10" s="12"/>
      <c r="E10" s="12"/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60000</v>
      </c>
      <c r="U10">
        <v>61000</v>
      </c>
      <c r="V10">
        <v>62000</v>
      </c>
      <c r="W10">
        <v>63000</v>
      </c>
      <c r="X10">
        <v>64000</v>
      </c>
      <c r="Y10">
        <v>65000</v>
      </c>
      <c r="Z10">
        <v>66000</v>
      </c>
      <c r="AA10">
        <v>67000</v>
      </c>
      <c r="AB10">
        <v>68000</v>
      </c>
      <c r="AC10">
        <v>69000</v>
      </c>
      <c r="AD10">
        <v>70000</v>
      </c>
      <c r="AE10">
        <v>71000</v>
      </c>
      <c r="AF10">
        <v>72000</v>
      </c>
      <c r="AG10">
        <v>73000</v>
      </c>
      <c r="AH10">
        <v>74000</v>
      </c>
      <c r="AI10">
        <v>75000</v>
      </c>
      <c r="AJ10">
        <v>76000</v>
      </c>
      <c r="AK10">
        <v>77000</v>
      </c>
      <c r="AL10">
        <v>78000</v>
      </c>
      <c r="AM10">
        <v>79000</v>
      </c>
      <c r="AN10">
        <v>80000</v>
      </c>
      <c r="AO10">
        <v>81000</v>
      </c>
      <c r="AP10">
        <v>82000</v>
      </c>
      <c r="AQ10">
        <v>83000</v>
      </c>
      <c r="AR10">
        <v>84000</v>
      </c>
      <c r="AS10">
        <v>85000</v>
      </c>
      <c r="AT10">
        <v>86000</v>
      </c>
      <c r="AU10">
        <v>87000</v>
      </c>
      <c r="AV10">
        <v>88000</v>
      </c>
      <c r="AW10">
        <v>89000</v>
      </c>
      <c r="AX10">
        <v>90000</v>
      </c>
      <c r="AY10">
        <v>91000</v>
      </c>
      <c r="AZ10">
        <v>92000</v>
      </c>
      <c r="BA10">
        <v>93000</v>
      </c>
      <c r="BB10">
        <v>94000</v>
      </c>
      <c r="BC10">
        <v>95000</v>
      </c>
      <c r="BD10">
        <v>96000</v>
      </c>
      <c r="BE10">
        <v>97000</v>
      </c>
      <c r="BF10">
        <v>98000</v>
      </c>
      <c r="BG10">
        <v>99000</v>
      </c>
      <c r="BH10">
        <v>100000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</row>
    <row r="11" spans="1:76" x14ac:dyDescent="0.25">
      <c r="A11" s="1" t="s">
        <v>182</v>
      </c>
      <c r="B11" s="1">
        <v>5</v>
      </c>
      <c r="C11" s="1">
        <v>58</v>
      </c>
      <c r="D11" s="12">
        <v>63</v>
      </c>
      <c r="E11" s="12">
        <v>20</v>
      </c>
      <c r="F11">
        <v>0</v>
      </c>
      <c r="G11">
        <v>0</v>
      </c>
      <c r="H11">
        <v>0</v>
      </c>
      <c r="I11">
        <v>0</v>
      </c>
      <c r="J11">
        <v>0</v>
      </c>
      <c r="K11">
        <v>19000</v>
      </c>
      <c r="L11">
        <v>19000</v>
      </c>
      <c r="M11">
        <v>19000</v>
      </c>
      <c r="N11">
        <v>19000</v>
      </c>
      <c r="O11">
        <v>19000</v>
      </c>
      <c r="P11">
        <v>19000</v>
      </c>
      <c r="Q11">
        <v>19000</v>
      </c>
      <c r="R11">
        <v>19000</v>
      </c>
      <c r="S11">
        <v>19000</v>
      </c>
      <c r="T11">
        <v>19000</v>
      </c>
      <c r="U11">
        <v>25000</v>
      </c>
      <c r="V11">
        <v>25000</v>
      </c>
      <c r="W11">
        <v>25000</v>
      </c>
      <c r="X11">
        <v>25000</v>
      </c>
      <c r="Y11">
        <v>25000</v>
      </c>
      <c r="Z11">
        <v>25000</v>
      </c>
      <c r="AA11">
        <v>25000</v>
      </c>
      <c r="AB11">
        <v>25000</v>
      </c>
      <c r="AC11">
        <v>25000</v>
      </c>
      <c r="AD11">
        <v>25000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</row>
    <row r="12" spans="1:76" x14ac:dyDescent="0.25">
      <c r="A12" s="1" t="s">
        <v>181</v>
      </c>
      <c r="B12" s="1">
        <v>7</v>
      </c>
      <c r="C12" s="1">
        <v>55</v>
      </c>
      <c r="D12" s="12">
        <v>64</v>
      </c>
      <c r="E12" s="12">
        <v>15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30000</v>
      </c>
      <c r="P12">
        <v>0</v>
      </c>
      <c r="Q12">
        <v>30000</v>
      </c>
      <c r="R12">
        <v>0</v>
      </c>
      <c r="S12">
        <v>30000</v>
      </c>
      <c r="T12">
        <v>0</v>
      </c>
      <c r="U12">
        <v>30000</v>
      </c>
      <c r="V12">
        <v>0</v>
      </c>
      <c r="W12">
        <v>30000</v>
      </c>
      <c r="X12">
        <v>0</v>
      </c>
      <c r="Y12">
        <v>30000</v>
      </c>
      <c r="Z12">
        <v>0</v>
      </c>
      <c r="AA12">
        <v>30000</v>
      </c>
      <c r="AB12">
        <v>0</v>
      </c>
      <c r="AC12">
        <v>30000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</row>
    <row r="13" spans="1:76" x14ac:dyDescent="0.25">
      <c r="A13" s="1" t="s">
        <v>180</v>
      </c>
      <c r="B13" s="1">
        <v>1</v>
      </c>
      <c r="C13" s="1">
        <v>55</v>
      </c>
      <c r="D13" s="12">
        <v>68</v>
      </c>
      <c r="E13" s="12">
        <v>5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15000</v>
      </c>
      <c r="T13">
        <v>15000</v>
      </c>
      <c r="U13">
        <v>15000</v>
      </c>
      <c r="V13">
        <v>15000</v>
      </c>
      <c r="W13">
        <v>15000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</row>
    <row r="14" spans="1:76" x14ac:dyDescent="0.25">
      <c r="A14" s="1" t="s">
        <v>179</v>
      </c>
      <c r="B14" s="1">
        <v>1</v>
      </c>
      <c r="C14" s="1">
        <v>53</v>
      </c>
      <c r="D14" s="12">
        <v>54</v>
      </c>
      <c r="E14" s="12">
        <v>5</v>
      </c>
      <c r="F14">
        <v>0</v>
      </c>
      <c r="G14">
        <v>15000</v>
      </c>
      <c r="H14">
        <v>15000</v>
      </c>
      <c r="I14">
        <v>15000</v>
      </c>
      <c r="J14">
        <v>15000</v>
      </c>
      <c r="K14">
        <v>15000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</row>
    <row r="15" spans="1:76" x14ac:dyDescent="0.25">
      <c r="A15" s="1" t="s">
        <v>178</v>
      </c>
      <c r="B15" s="1">
        <v>1</v>
      </c>
      <c r="C15" s="1">
        <v>45</v>
      </c>
      <c r="D15" s="12">
        <v>58</v>
      </c>
      <c r="E15" s="12">
        <v>19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15000</v>
      </c>
      <c r="T15">
        <v>15000</v>
      </c>
      <c r="U15">
        <v>15000</v>
      </c>
      <c r="V15">
        <v>15000</v>
      </c>
      <c r="W15">
        <v>15000</v>
      </c>
      <c r="X15">
        <v>15000</v>
      </c>
      <c r="Y15">
        <v>15000</v>
      </c>
      <c r="Z15">
        <v>15000</v>
      </c>
      <c r="AA15">
        <v>15000</v>
      </c>
      <c r="AB15">
        <v>15000</v>
      </c>
      <c r="AC15">
        <v>15000</v>
      </c>
      <c r="AD15">
        <v>15000</v>
      </c>
      <c r="AE15">
        <v>15000</v>
      </c>
      <c r="AF15">
        <v>15000</v>
      </c>
      <c r="AG15">
        <v>15000</v>
      </c>
      <c r="AH15">
        <v>15000</v>
      </c>
      <c r="AI15">
        <v>15000</v>
      </c>
      <c r="AJ15">
        <v>15000</v>
      </c>
      <c r="AK15">
        <v>15000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</row>
    <row r="16" spans="1:76" x14ac:dyDescent="0.25">
      <c r="A16" s="1" t="s">
        <v>177</v>
      </c>
      <c r="B16" s="1">
        <v>6</v>
      </c>
      <c r="C16" s="1">
        <v>53</v>
      </c>
      <c r="D16" s="12">
        <v>67</v>
      </c>
      <c r="E16" s="12">
        <v>7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14285.714285714286</v>
      </c>
      <c r="U16">
        <v>14285.714285714286</v>
      </c>
      <c r="V16">
        <v>14285.714285714286</v>
      </c>
      <c r="W16">
        <v>14285.714285714286</v>
      </c>
      <c r="X16">
        <v>14285.714285714286</v>
      </c>
      <c r="Y16">
        <v>14285.714285714286</v>
      </c>
      <c r="Z16">
        <v>14285.714285714286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</row>
    <row r="17" spans="1:76" x14ac:dyDescent="0.25">
      <c r="A17" s="1" t="s">
        <v>176</v>
      </c>
      <c r="B17" s="1">
        <v>7</v>
      </c>
      <c r="C17" s="1">
        <v>56</v>
      </c>
      <c r="D17" s="12">
        <v>58</v>
      </c>
      <c r="E17" s="12">
        <v>10</v>
      </c>
      <c r="F17">
        <v>0</v>
      </c>
      <c r="G17">
        <v>0</v>
      </c>
      <c r="H17">
        <v>30000</v>
      </c>
      <c r="I17">
        <v>0</v>
      </c>
      <c r="J17">
        <v>30000</v>
      </c>
      <c r="K17">
        <v>0</v>
      </c>
      <c r="L17">
        <v>30000</v>
      </c>
      <c r="M17">
        <v>0</v>
      </c>
      <c r="N17">
        <v>30000</v>
      </c>
      <c r="O17">
        <v>0</v>
      </c>
      <c r="P17">
        <v>30000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</row>
    <row r="18" spans="1:76" x14ac:dyDescent="0.25">
      <c r="A18" s="1" t="s">
        <v>175</v>
      </c>
      <c r="B18" s="1">
        <v>5</v>
      </c>
      <c r="C18" s="1">
        <v>52</v>
      </c>
      <c r="D18" s="12">
        <v>61</v>
      </c>
      <c r="E18" s="12">
        <v>20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19000</v>
      </c>
      <c r="P18">
        <v>19000</v>
      </c>
      <c r="Q18">
        <v>19000</v>
      </c>
      <c r="R18">
        <v>19000</v>
      </c>
      <c r="S18">
        <v>19000</v>
      </c>
      <c r="T18">
        <v>19000</v>
      </c>
      <c r="U18">
        <v>19000</v>
      </c>
      <c r="V18">
        <v>19000</v>
      </c>
      <c r="W18">
        <v>19000</v>
      </c>
      <c r="X18">
        <v>19000</v>
      </c>
      <c r="Y18">
        <v>25000</v>
      </c>
      <c r="Z18">
        <v>25000</v>
      </c>
      <c r="AA18">
        <v>25000</v>
      </c>
      <c r="AB18">
        <v>25000</v>
      </c>
      <c r="AC18">
        <v>25000</v>
      </c>
      <c r="AD18">
        <v>25000</v>
      </c>
      <c r="AE18">
        <v>25000</v>
      </c>
      <c r="AF18">
        <v>25000</v>
      </c>
      <c r="AG18">
        <v>25000</v>
      </c>
      <c r="AH18">
        <v>25000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</row>
    <row r="19" spans="1:76" x14ac:dyDescent="0.25">
      <c r="A19" s="1" t="s">
        <v>174</v>
      </c>
      <c r="B19" s="1">
        <v>2</v>
      </c>
      <c r="C19" s="1">
        <v>56</v>
      </c>
      <c r="D19" s="12"/>
      <c r="E19" s="12"/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25000</v>
      </c>
      <c r="P19">
        <v>26000</v>
      </c>
      <c r="Q19">
        <v>27000</v>
      </c>
      <c r="R19">
        <v>28000</v>
      </c>
      <c r="S19">
        <v>29000</v>
      </c>
      <c r="T19">
        <v>30000</v>
      </c>
      <c r="U19">
        <v>31000</v>
      </c>
      <c r="V19">
        <v>32000</v>
      </c>
      <c r="W19">
        <v>33000</v>
      </c>
      <c r="X19">
        <v>34000</v>
      </c>
      <c r="Y19">
        <v>35000</v>
      </c>
      <c r="Z19">
        <v>36000</v>
      </c>
      <c r="AA19">
        <v>37000</v>
      </c>
      <c r="AB19">
        <v>38000</v>
      </c>
      <c r="AC19">
        <v>39000</v>
      </c>
      <c r="AD19">
        <v>40000</v>
      </c>
      <c r="AE19">
        <v>41000</v>
      </c>
      <c r="AF19">
        <v>42000</v>
      </c>
      <c r="AG19">
        <v>43000</v>
      </c>
      <c r="AH19">
        <v>44000</v>
      </c>
      <c r="AI19">
        <v>45000</v>
      </c>
      <c r="AJ19">
        <v>46000</v>
      </c>
      <c r="AK19">
        <v>47000</v>
      </c>
      <c r="AL19">
        <v>48000</v>
      </c>
      <c r="AM19">
        <v>49000</v>
      </c>
      <c r="AN19">
        <v>50000</v>
      </c>
      <c r="AO19">
        <v>51000</v>
      </c>
      <c r="AP19">
        <v>52000</v>
      </c>
      <c r="AQ19">
        <v>53000</v>
      </c>
      <c r="AR19">
        <v>54000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</row>
    <row r="20" spans="1:76" x14ac:dyDescent="0.25">
      <c r="A20" s="1" t="s">
        <v>173</v>
      </c>
      <c r="B20" s="1">
        <v>2</v>
      </c>
      <c r="C20" s="1">
        <v>47</v>
      </c>
      <c r="D20" s="12"/>
      <c r="E20" s="12"/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25000</v>
      </c>
      <c r="Y20">
        <v>26000</v>
      </c>
      <c r="Z20">
        <v>27000</v>
      </c>
      <c r="AA20">
        <v>28000</v>
      </c>
      <c r="AB20">
        <v>29000</v>
      </c>
      <c r="AC20">
        <v>30000</v>
      </c>
      <c r="AD20">
        <v>31000</v>
      </c>
      <c r="AE20">
        <v>32000</v>
      </c>
      <c r="AF20">
        <v>33000</v>
      </c>
      <c r="AG20">
        <v>34000</v>
      </c>
      <c r="AH20">
        <v>35000</v>
      </c>
      <c r="AI20">
        <v>36000</v>
      </c>
      <c r="AJ20">
        <v>37000</v>
      </c>
      <c r="AK20">
        <v>38000</v>
      </c>
      <c r="AL20">
        <v>39000</v>
      </c>
      <c r="AM20">
        <v>40000</v>
      </c>
      <c r="AN20">
        <v>41000</v>
      </c>
      <c r="AO20">
        <v>42000</v>
      </c>
      <c r="AP20">
        <v>43000</v>
      </c>
      <c r="AQ20">
        <v>44000</v>
      </c>
      <c r="AR20">
        <v>45000</v>
      </c>
      <c r="AS20">
        <v>46000</v>
      </c>
      <c r="AT20">
        <v>47000</v>
      </c>
      <c r="AU20">
        <v>48000</v>
      </c>
      <c r="AV20">
        <v>49000</v>
      </c>
      <c r="AW20">
        <v>50000</v>
      </c>
      <c r="AX20">
        <v>51000</v>
      </c>
      <c r="AY20">
        <v>52000</v>
      </c>
      <c r="AZ20">
        <v>53000</v>
      </c>
      <c r="BA20">
        <v>54000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</row>
    <row r="21" spans="1:76" x14ac:dyDescent="0.25">
      <c r="A21" s="1" t="s">
        <v>172</v>
      </c>
      <c r="B21" s="1">
        <v>3</v>
      </c>
      <c r="C21" s="1">
        <v>41</v>
      </c>
      <c r="D21" s="12">
        <v>41</v>
      </c>
      <c r="E21" s="12"/>
      <c r="F21">
        <v>7200</v>
      </c>
      <c r="G21">
        <v>7200</v>
      </c>
      <c r="H21">
        <v>7200</v>
      </c>
      <c r="I21">
        <v>7200</v>
      </c>
      <c r="J21">
        <v>7200</v>
      </c>
      <c r="K21">
        <v>7200</v>
      </c>
      <c r="L21">
        <v>7200</v>
      </c>
      <c r="M21">
        <v>7200</v>
      </c>
      <c r="N21">
        <v>7200</v>
      </c>
      <c r="O21">
        <v>7200</v>
      </c>
      <c r="P21">
        <v>7200</v>
      </c>
      <c r="Q21">
        <v>7200</v>
      </c>
      <c r="R21">
        <v>7200</v>
      </c>
      <c r="S21">
        <v>7200</v>
      </c>
      <c r="T21">
        <v>7200</v>
      </c>
      <c r="U21">
        <v>7200</v>
      </c>
      <c r="V21">
        <v>7200</v>
      </c>
      <c r="W21">
        <v>7200</v>
      </c>
      <c r="X21">
        <v>7200</v>
      </c>
      <c r="Y21">
        <v>7200</v>
      </c>
      <c r="Z21">
        <v>7200</v>
      </c>
      <c r="AA21">
        <v>7200</v>
      </c>
      <c r="AB21">
        <v>7200</v>
      </c>
      <c r="AC21">
        <v>7200</v>
      </c>
      <c r="AD21">
        <v>7200</v>
      </c>
      <c r="AE21">
        <v>7200</v>
      </c>
      <c r="AF21">
        <v>7200</v>
      </c>
      <c r="AG21">
        <v>7200</v>
      </c>
      <c r="AH21">
        <v>7200</v>
      </c>
      <c r="AI21">
        <v>7200</v>
      </c>
      <c r="AJ21">
        <v>7200</v>
      </c>
      <c r="AK21">
        <v>7200</v>
      </c>
      <c r="AL21">
        <v>7200</v>
      </c>
      <c r="AM21">
        <v>7200</v>
      </c>
      <c r="AN21">
        <v>7200</v>
      </c>
      <c r="AO21">
        <v>7200</v>
      </c>
      <c r="AP21">
        <v>7200</v>
      </c>
      <c r="AQ21">
        <v>7200</v>
      </c>
      <c r="AR21">
        <v>7200</v>
      </c>
      <c r="AS21">
        <v>7200</v>
      </c>
      <c r="AT21">
        <v>7200</v>
      </c>
      <c r="AU21">
        <v>7200</v>
      </c>
      <c r="AV21">
        <v>7200</v>
      </c>
      <c r="AW21">
        <v>7200</v>
      </c>
      <c r="AX21">
        <v>7200</v>
      </c>
      <c r="AY21">
        <v>7200</v>
      </c>
      <c r="AZ21">
        <v>7200</v>
      </c>
      <c r="BA21">
        <v>7200</v>
      </c>
      <c r="BB21">
        <v>7200</v>
      </c>
      <c r="BC21">
        <v>7200</v>
      </c>
      <c r="BD21">
        <v>7200</v>
      </c>
      <c r="BE21">
        <v>7200</v>
      </c>
      <c r="BF21">
        <v>7200</v>
      </c>
      <c r="BG21">
        <v>7200</v>
      </c>
      <c r="BH21">
        <v>7200</v>
      </c>
      <c r="BI21">
        <v>7200</v>
      </c>
      <c r="BJ21">
        <v>7200</v>
      </c>
      <c r="BK21">
        <v>7200</v>
      </c>
      <c r="BL21">
        <v>7200</v>
      </c>
      <c r="BM21">
        <v>7200</v>
      </c>
      <c r="BN21">
        <v>7200</v>
      </c>
      <c r="BO21">
        <v>7200</v>
      </c>
      <c r="BP21">
        <v>7200</v>
      </c>
      <c r="BQ21">
        <v>7200</v>
      </c>
      <c r="BR21">
        <v>7200</v>
      </c>
      <c r="BS21">
        <v>7200</v>
      </c>
      <c r="BT21">
        <v>7200</v>
      </c>
      <c r="BU21">
        <v>7200</v>
      </c>
      <c r="BV21">
        <v>7200</v>
      </c>
      <c r="BW21">
        <v>7200</v>
      </c>
      <c r="BX21">
        <v>0</v>
      </c>
    </row>
    <row r="22" spans="1:76" x14ac:dyDescent="0.25">
      <c r="A22" s="1" t="s">
        <v>171</v>
      </c>
      <c r="B22" s="1">
        <v>6</v>
      </c>
      <c r="C22" s="1">
        <v>50</v>
      </c>
      <c r="D22" s="12">
        <v>58</v>
      </c>
      <c r="E22" s="12">
        <v>20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5000</v>
      </c>
      <c r="O22">
        <v>5000</v>
      </c>
      <c r="P22">
        <v>5000</v>
      </c>
      <c r="Q22">
        <v>5000</v>
      </c>
      <c r="R22">
        <v>5000</v>
      </c>
      <c r="S22">
        <v>5000</v>
      </c>
      <c r="T22">
        <v>5000</v>
      </c>
      <c r="U22">
        <v>5000</v>
      </c>
      <c r="V22">
        <v>5000</v>
      </c>
      <c r="W22">
        <v>5000</v>
      </c>
      <c r="X22">
        <v>5000</v>
      </c>
      <c r="Y22">
        <v>5000</v>
      </c>
      <c r="Z22">
        <v>5000</v>
      </c>
      <c r="AA22">
        <v>5000</v>
      </c>
      <c r="AB22">
        <v>5000</v>
      </c>
      <c r="AC22">
        <v>5000</v>
      </c>
      <c r="AD22">
        <v>5000</v>
      </c>
      <c r="AE22">
        <v>5000</v>
      </c>
      <c r="AF22">
        <v>5000</v>
      </c>
      <c r="AG22">
        <v>5000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</row>
    <row r="23" spans="1:76" x14ac:dyDescent="0.25">
      <c r="A23" s="1" t="s">
        <v>170</v>
      </c>
      <c r="B23" s="1">
        <v>4</v>
      </c>
      <c r="C23" s="1">
        <v>58</v>
      </c>
      <c r="D23" s="12"/>
      <c r="E23" s="12"/>
      <c r="F23">
        <v>0</v>
      </c>
      <c r="G23">
        <v>0</v>
      </c>
      <c r="H23">
        <v>60000</v>
      </c>
      <c r="I23">
        <v>61000</v>
      </c>
      <c r="J23">
        <v>62000</v>
      </c>
      <c r="K23">
        <v>63000</v>
      </c>
      <c r="L23">
        <v>64000</v>
      </c>
      <c r="M23">
        <v>65000</v>
      </c>
      <c r="N23">
        <v>66000</v>
      </c>
      <c r="O23">
        <v>67000</v>
      </c>
      <c r="P23">
        <v>68000</v>
      </c>
      <c r="Q23">
        <v>69000</v>
      </c>
      <c r="R23">
        <v>70000</v>
      </c>
      <c r="S23">
        <v>71000</v>
      </c>
      <c r="T23">
        <v>72000</v>
      </c>
      <c r="U23">
        <v>73000</v>
      </c>
      <c r="V23">
        <v>74000</v>
      </c>
      <c r="W23">
        <v>75000</v>
      </c>
      <c r="X23">
        <v>76000</v>
      </c>
      <c r="Y23">
        <v>77000</v>
      </c>
      <c r="Z23">
        <v>78000</v>
      </c>
      <c r="AA23">
        <v>79000</v>
      </c>
      <c r="AB23">
        <v>80000</v>
      </c>
      <c r="AC23">
        <v>81000</v>
      </c>
      <c r="AD23">
        <v>82000</v>
      </c>
      <c r="AE23">
        <v>83000</v>
      </c>
      <c r="AF23">
        <v>84000</v>
      </c>
      <c r="AG23">
        <v>85000</v>
      </c>
      <c r="AH23">
        <v>86000</v>
      </c>
      <c r="AI23">
        <v>87000</v>
      </c>
      <c r="AJ23">
        <v>88000</v>
      </c>
      <c r="AK23">
        <v>89000</v>
      </c>
      <c r="AL23">
        <v>90000</v>
      </c>
      <c r="AM23">
        <v>91000</v>
      </c>
      <c r="AN23">
        <v>92000</v>
      </c>
      <c r="AO23">
        <v>93000</v>
      </c>
      <c r="AP23">
        <v>94000</v>
      </c>
      <c r="AQ23">
        <v>95000</v>
      </c>
      <c r="AR23">
        <v>96000</v>
      </c>
      <c r="AS23">
        <v>97000</v>
      </c>
      <c r="AT23">
        <v>98000</v>
      </c>
      <c r="AU23">
        <v>99000</v>
      </c>
      <c r="AV23">
        <v>100000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</row>
    <row r="24" spans="1:76" x14ac:dyDescent="0.25">
      <c r="A24" s="1" t="s">
        <v>169</v>
      </c>
      <c r="B24" s="1">
        <v>1</v>
      </c>
      <c r="C24" s="1">
        <v>51</v>
      </c>
      <c r="D24" s="12">
        <v>57</v>
      </c>
      <c r="E24" s="12">
        <v>6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15000</v>
      </c>
      <c r="M24">
        <v>15000</v>
      </c>
      <c r="N24">
        <v>15000</v>
      </c>
      <c r="O24">
        <v>15000</v>
      </c>
      <c r="P24">
        <v>15000</v>
      </c>
      <c r="Q24">
        <v>15000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</row>
    <row r="25" spans="1:76" x14ac:dyDescent="0.25">
      <c r="A25" s="1" t="s">
        <v>168</v>
      </c>
      <c r="B25" s="1">
        <v>5</v>
      </c>
      <c r="C25" s="1">
        <v>40</v>
      </c>
      <c r="D25" s="12">
        <v>43</v>
      </c>
      <c r="E25" s="12">
        <v>17</v>
      </c>
      <c r="F25">
        <v>0</v>
      </c>
      <c r="G25">
        <v>0</v>
      </c>
      <c r="H25">
        <v>0</v>
      </c>
      <c r="I25">
        <v>19000</v>
      </c>
      <c r="J25">
        <v>19000</v>
      </c>
      <c r="K25">
        <v>19000</v>
      </c>
      <c r="L25">
        <v>19000</v>
      </c>
      <c r="M25">
        <v>19000</v>
      </c>
      <c r="N25">
        <v>19000</v>
      </c>
      <c r="O25">
        <v>19000</v>
      </c>
      <c r="P25">
        <v>19000</v>
      </c>
      <c r="Q25">
        <v>19000</v>
      </c>
      <c r="R25">
        <v>25000</v>
      </c>
      <c r="S25">
        <v>25000</v>
      </c>
      <c r="T25">
        <v>25000</v>
      </c>
      <c r="U25">
        <v>25000</v>
      </c>
      <c r="V25">
        <v>25000</v>
      </c>
      <c r="W25">
        <v>25000</v>
      </c>
      <c r="X25">
        <v>25000</v>
      </c>
      <c r="Y25">
        <v>25000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</row>
    <row r="26" spans="1:76" x14ac:dyDescent="0.25">
      <c r="A26" s="1" t="s">
        <v>167</v>
      </c>
      <c r="B26" s="1">
        <v>7</v>
      </c>
      <c r="C26" s="1">
        <v>47</v>
      </c>
      <c r="D26" s="12">
        <v>61</v>
      </c>
      <c r="E26" s="12">
        <v>5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30000</v>
      </c>
      <c r="U26">
        <v>0</v>
      </c>
      <c r="V26">
        <v>30000</v>
      </c>
      <c r="W26">
        <v>0</v>
      </c>
      <c r="X26">
        <v>30000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</row>
    <row r="27" spans="1:76" x14ac:dyDescent="0.25">
      <c r="A27" s="1" t="s">
        <v>166</v>
      </c>
      <c r="B27" s="1">
        <v>5</v>
      </c>
      <c r="C27" s="1">
        <v>57</v>
      </c>
      <c r="D27" s="12">
        <v>60</v>
      </c>
      <c r="E27" s="12">
        <v>20</v>
      </c>
      <c r="F27">
        <v>0</v>
      </c>
      <c r="G27">
        <v>0</v>
      </c>
      <c r="H27">
        <v>0</v>
      </c>
      <c r="I27">
        <v>19000</v>
      </c>
      <c r="J27">
        <v>19000</v>
      </c>
      <c r="K27">
        <v>19000</v>
      </c>
      <c r="L27">
        <v>19000</v>
      </c>
      <c r="M27">
        <v>19000</v>
      </c>
      <c r="N27">
        <v>19000</v>
      </c>
      <c r="O27">
        <v>19000</v>
      </c>
      <c r="P27">
        <v>19000</v>
      </c>
      <c r="Q27">
        <v>19000</v>
      </c>
      <c r="R27">
        <v>19000</v>
      </c>
      <c r="S27">
        <v>25000</v>
      </c>
      <c r="T27">
        <v>25000</v>
      </c>
      <c r="U27">
        <v>25000</v>
      </c>
      <c r="V27">
        <v>25000</v>
      </c>
      <c r="W27">
        <v>25000</v>
      </c>
      <c r="X27">
        <v>25000</v>
      </c>
      <c r="Y27">
        <v>25000</v>
      </c>
      <c r="Z27">
        <v>25000</v>
      </c>
      <c r="AA27">
        <v>25000</v>
      </c>
      <c r="AB27">
        <v>25000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</row>
    <row r="28" spans="1:76" x14ac:dyDescent="0.25">
      <c r="A28" s="1" t="s">
        <v>165</v>
      </c>
      <c r="B28" s="1">
        <v>1</v>
      </c>
      <c r="C28" s="1">
        <v>52</v>
      </c>
      <c r="D28" s="12">
        <v>66</v>
      </c>
      <c r="E28" s="12">
        <v>12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15000</v>
      </c>
      <c r="U28">
        <v>15000</v>
      </c>
      <c r="V28">
        <v>15000</v>
      </c>
      <c r="W28">
        <v>15000</v>
      </c>
      <c r="X28">
        <v>15000</v>
      </c>
      <c r="Y28">
        <v>15000</v>
      </c>
      <c r="Z28">
        <v>15000</v>
      </c>
      <c r="AA28">
        <v>15000</v>
      </c>
      <c r="AB28">
        <v>15000</v>
      </c>
      <c r="AC28">
        <v>15000</v>
      </c>
      <c r="AD28">
        <v>15000</v>
      </c>
      <c r="AE28">
        <v>15000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</row>
    <row r="29" spans="1:76" x14ac:dyDescent="0.25">
      <c r="A29" s="1" t="s">
        <v>164</v>
      </c>
      <c r="B29" s="1">
        <v>3</v>
      </c>
      <c r="C29" s="1">
        <v>67</v>
      </c>
      <c r="D29" s="12">
        <v>71</v>
      </c>
      <c r="E29" s="12"/>
      <c r="F29">
        <v>0</v>
      </c>
      <c r="G29">
        <v>0</v>
      </c>
      <c r="H29">
        <v>0</v>
      </c>
      <c r="I29">
        <v>0</v>
      </c>
      <c r="J29">
        <v>7200</v>
      </c>
      <c r="K29">
        <v>7200</v>
      </c>
      <c r="L29">
        <v>7200</v>
      </c>
      <c r="M29">
        <v>7200</v>
      </c>
      <c r="N29">
        <v>7200</v>
      </c>
      <c r="O29">
        <v>7200</v>
      </c>
      <c r="P29">
        <v>7200</v>
      </c>
      <c r="Q29">
        <v>7200</v>
      </c>
      <c r="R29">
        <v>7200</v>
      </c>
      <c r="S29">
        <v>7200</v>
      </c>
      <c r="T29">
        <v>7200</v>
      </c>
      <c r="U29">
        <v>7200</v>
      </c>
      <c r="V29">
        <v>7200</v>
      </c>
      <c r="W29">
        <v>7200</v>
      </c>
      <c r="X29">
        <v>7200</v>
      </c>
      <c r="Y29">
        <v>7200</v>
      </c>
      <c r="Z29">
        <v>7200</v>
      </c>
      <c r="AA29">
        <v>7200</v>
      </c>
      <c r="AB29">
        <v>7200</v>
      </c>
      <c r="AC29">
        <v>7200</v>
      </c>
      <c r="AD29">
        <v>7200</v>
      </c>
      <c r="AE29">
        <v>7200</v>
      </c>
      <c r="AF29">
        <v>7200</v>
      </c>
      <c r="AG29">
        <v>7200</v>
      </c>
      <c r="AH29">
        <v>7200</v>
      </c>
      <c r="AI29">
        <v>7200</v>
      </c>
      <c r="AJ29">
        <v>7200</v>
      </c>
      <c r="AK29">
        <v>7200</v>
      </c>
      <c r="AL29">
        <v>7200</v>
      </c>
      <c r="AM29">
        <v>7200</v>
      </c>
      <c r="AN29">
        <v>7200</v>
      </c>
      <c r="AO29">
        <v>7200</v>
      </c>
      <c r="AP29">
        <v>7200</v>
      </c>
      <c r="AQ29">
        <v>7200</v>
      </c>
      <c r="AR29">
        <v>7200</v>
      </c>
      <c r="AS29">
        <v>7200</v>
      </c>
      <c r="AT29">
        <v>7200</v>
      </c>
      <c r="AU29">
        <v>7200</v>
      </c>
      <c r="AV29">
        <v>7200</v>
      </c>
      <c r="AW29">
        <v>7200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</row>
    <row r="30" spans="1:76" x14ac:dyDescent="0.25">
      <c r="A30" s="1" t="s">
        <v>163</v>
      </c>
      <c r="B30" s="1">
        <v>7</v>
      </c>
      <c r="C30" s="1">
        <v>42</v>
      </c>
      <c r="D30" s="12">
        <v>46</v>
      </c>
      <c r="E30" s="12">
        <v>16</v>
      </c>
      <c r="F30">
        <v>0</v>
      </c>
      <c r="G30">
        <v>0</v>
      </c>
      <c r="H30">
        <v>0</v>
      </c>
      <c r="I30">
        <v>0</v>
      </c>
      <c r="J30">
        <v>30000</v>
      </c>
      <c r="K30">
        <v>0</v>
      </c>
      <c r="L30">
        <v>30000</v>
      </c>
      <c r="M30">
        <v>0</v>
      </c>
      <c r="N30">
        <v>30000</v>
      </c>
      <c r="O30">
        <v>0</v>
      </c>
      <c r="P30">
        <v>30000</v>
      </c>
      <c r="Q30">
        <v>0</v>
      </c>
      <c r="R30">
        <v>30000</v>
      </c>
      <c r="S30">
        <v>0</v>
      </c>
      <c r="T30">
        <v>30000</v>
      </c>
      <c r="U30">
        <v>0</v>
      </c>
      <c r="V30">
        <v>30000</v>
      </c>
      <c r="W30">
        <v>0</v>
      </c>
      <c r="X30">
        <v>30000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</row>
    <row r="31" spans="1:76" x14ac:dyDescent="0.25">
      <c r="A31" s="1" t="s">
        <v>162</v>
      </c>
      <c r="B31" s="1">
        <v>1</v>
      </c>
      <c r="C31" s="1">
        <v>60</v>
      </c>
      <c r="D31" s="12">
        <v>66</v>
      </c>
      <c r="E31" s="12">
        <v>8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15000</v>
      </c>
      <c r="M31">
        <v>15000</v>
      </c>
      <c r="N31">
        <v>15000</v>
      </c>
      <c r="O31">
        <v>15000</v>
      </c>
      <c r="P31">
        <v>15000</v>
      </c>
      <c r="Q31">
        <v>15000</v>
      </c>
      <c r="R31">
        <v>15000</v>
      </c>
      <c r="S31">
        <v>15000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</row>
    <row r="32" spans="1:76" x14ac:dyDescent="0.25">
      <c r="A32" s="1" t="s">
        <v>161</v>
      </c>
      <c r="B32" s="1">
        <v>1</v>
      </c>
      <c r="C32" s="1">
        <v>45</v>
      </c>
      <c r="D32" s="12">
        <v>45</v>
      </c>
      <c r="E32" s="12">
        <v>19</v>
      </c>
      <c r="F32">
        <v>15000</v>
      </c>
      <c r="G32">
        <v>15000</v>
      </c>
      <c r="H32">
        <v>15000</v>
      </c>
      <c r="I32">
        <v>15000</v>
      </c>
      <c r="J32">
        <v>15000</v>
      </c>
      <c r="K32">
        <v>15000</v>
      </c>
      <c r="L32">
        <v>15000</v>
      </c>
      <c r="M32">
        <v>15000</v>
      </c>
      <c r="N32">
        <v>15000</v>
      </c>
      <c r="O32">
        <v>15000</v>
      </c>
      <c r="P32">
        <v>15000</v>
      </c>
      <c r="Q32">
        <v>15000</v>
      </c>
      <c r="R32">
        <v>15000</v>
      </c>
      <c r="S32">
        <v>15000</v>
      </c>
      <c r="T32">
        <v>15000</v>
      </c>
      <c r="U32">
        <v>15000</v>
      </c>
      <c r="V32">
        <v>15000</v>
      </c>
      <c r="W32">
        <v>15000</v>
      </c>
      <c r="X32">
        <v>15000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</row>
    <row r="33" spans="1:76" x14ac:dyDescent="0.25">
      <c r="A33" s="1" t="s">
        <v>160</v>
      </c>
      <c r="B33" s="1">
        <v>1</v>
      </c>
      <c r="C33" s="1">
        <v>63</v>
      </c>
      <c r="D33" s="12">
        <v>69</v>
      </c>
      <c r="E33" s="12">
        <v>6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15000</v>
      </c>
      <c r="M33">
        <v>15000</v>
      </c>
      <c r="N33">
        <v>15000</v>
      </c>
      <c r="O33">
        <v>15000</v>
      </c>
      <c r="P33">
        <v>15000</v>
      </c>
      <c r="Q33">
        <v>15000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</row>
    <row r="34" spans="1:76" x14ac:dyDescent="0.25">
      <c r="A34" s="1" t="s">
        <v>159</v>
      </c>
      <c r="B34" s="1">
        <v>1</v>
      </c>
      <c r="C34" s="1">
        <v>42</v>
      </c>
      <c r="D34" s="12">
        <v>43</v>
      </c>
      <c r="E34" s="12">
        <v>19</v>
      </c>
      <c r="F34">
        <v>0</v>
      </c>
      <c r="G34">
        <v>15000</v>
      </c>
      <c r="H34">
        <v>15000</v>
      </c>
      <c r="I34">
        <v>15000</v>
      </c>
      <c r="J34">
        <v>15000</v>
      </c>
      <c r="K34">
        <v>15000</v>
      </c>
      <c r="L34">
        <v>15000</v>
      </c>
      <c r="M34">
        <v>15000</v>
      </c>
      <c r="N34">
        <v>15000</v>
      </c>
      <c r="O34">
        <v>15000</v>
      </c>
      <c r="P34">
        <v>15000</v>
      </c>
      <c r="Q34">
        <v>15000</v>
      </c>
      <c r="R34">
        <v>15000</v>
      </c>
      <c r="S34">
        <v>15000</v>
      </c>
      <c r="T34">
        <v>15000</v>
      </c>
      <c r="U34">
        <v>15000</v>
      </c>
      <c r="V34">
        <v>15000</v>
      </c>
      <c r="W34">
        <v>15000</v>
      </c>
      <c r="X34">
        <v>15000</v>
      </c>
      <c r="Y34">
        <v>15000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</row>
    <row r="35" spans="1:76" x14ac:dyDescent="0.25">
      <c r="A35" s="1" t="s">
        <v>158</v>
      </c>
      <c r="B35" s="1">
        <v>5</v>
      </c>
      <c r="C35" s="1">
        <v>44</v>
      </c>
      <c r="D35" s="12">
        <v>57</v>
      </c>
      <c r="E35" s="12">
        <v>5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19000</v>
      </c>
      <c r="T35">
        <v>19000</v>
      </c>
      <c r="U35">
        <v>19000</v>
      </c>
      <c r="V35">
        <v>25000</v>
      </c>
      <c r="W35">
        <v>25000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</row>
    <row r="36" spans="1:76" x14ac:dyDescent="0.25">
      <c r="A36" s="1" t="s">
        <v>157</v>
      </c>
      <c r="B36" s="1">
        <v>1</v>
      </c>
      <c r="C36" s="1">
        <v>63</v>
      </c>
      <c r="D36" s="12">
        <v>69</v>
      </c>
      <c r="E36" s="12">
        <v>20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15000</v>
      </c>
      <c r="M36">
        <v>15000</v>
      </c>
      <c r="N36">
        <v>15000</v>
      </c>
      <c r="O36">
        <v>15000</v>
      </c>
      <c r="P36">
        <v>15000</v>
      </c>
      <c r="Q36">
        <v>15000</v>
      </c>
      <c r="R36">
        <v>15000</v>
      </c>
      <c r="S36">
        <v>15000</v>
      </c>
      <c r="T36">
        <v>15000</v>
      </c>
      <c r="U36">
        <v>15000</v>
      </c>
      <c r="V36">
        <v>15000</v>
      </c>
      <c r="W36">
        <v>15000</v>
      </c>
      <c r="X36">
        <v>15000</v>
      </c>
      <c r="Y36">
        <v>15000</v>
      </c>
      <c r="Z36">
        <v>15000</v>
      </c>
      <c r="AA36">
        <v>15000</v>
      </c>
      <c r="AB36">
        <v>15000</v>
      </c>
      <c r="AC36">
        <v>15000</v>
      </c>
      <c r="AD36">
        <v>15000</v>
      </c>
      <c r="AE36">
        <v>15000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</row>
    <row r="37" spans="1:76" x14ac:dyDescent="0.25">
      <c r="A37" s="1" t="s">
        <v>156</v>
      </c>
      <c r="B37" s="1">
        <v>1</v>
      </c>
      <c r="C37" s="1">
        <v>68</v>
      </c>
      <c r="D37" s="12">
        <v>69</v>
      </c>
      <c r="E37" s="12">
        <v>17</v>
      </c>
      <c r="F37">
        <v>0</v>
      </c>
      <c r="G37">
        <v>15000</v>
      </c>
      <c r="H37">
        <v>15000</v>
      </c>
      <c r="I37">
        <v>15000</v>
      </c>
      <c r="J37">
        <v>15000</v>
      </c>
      <c r="K37">
        <v>15000</v>
      </c>
      <c r="L37">
        <v>15000</v>
      </c>
      <c r="M37">
        <v>15000</v>
      </c>
      <c r="N37">
        <v>15000</v>
      </c>
      <c r="O37">
        <v>15000</v>
      </c>
      <c r="P37">
        <v>15000</v>
      </c>
      <c r="Q37">
        <v>15000</v>
      </c>
      <c r="R37">
        <v>15000</v>
      </c>
      <c r="S37">
        <v>15000</v>
      </c>
      <c r="T37">
        <v>15000</v>
      </c>
      <c r="U37">
        <v>15000</v>
      </c>
      <c r="V37">
        <v>15000</v>
      </c>
      <c r="W37">
        <v>15000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</row>
    <row r="38" spans="1:76" x14ac:dyDescent="0.25">
      <c r="A38" s="1" t="s">
        <v>155</v>
      </c>
      <c r="B38" s="1">
        <v>2</v>
      </c>
      <c r="C38" s="1">
        <v>42</v>
      </c>
      <c r="D38" s="12"/>
      <c r="E38" s="12"/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25000</v>
      </c>
      <c r="AD38">
        <v>26000</v>
      </c>
      <c r="AE38">
        <v>27000</v>
      </c>
      <c r="AF38">
        <v>28000</v>
      </c>
      <c r="AG38">
        <v>29000</v>
      </c>
      <c r="AH38">
        <v>30000</v>
      </c>
      <c r="AI38">
        <v>31000</v>
      </c>
      <c r="AJ38">
        <v>32000</v>
      </c>
      <c r="AK38">
        <v>33000</v>
      </c>
      <c r="AL38">
        <v>34000</v>
      </c>
      <c r="AM38">
        <v>35000</v>
      </c>
      <c r="AN38">
        <v>36000</v>
      </c>
      <c r="AO38">
        <v>37000</v>
      </c>
      <c r="AP38">
        <v>38000</v>
      </c>
      <c r="AQ38">
        <v>39000</v>
      </c>
      <c r="AR38">
        <v>40000</v>
      </c>
      <c r="AS38">
        <v>41000</v>
      </c>
      <c r="AT38">
        <v>42000</v>
      </c>
      <c r="AU38">
        <v>43000</v>
      </c>
      <c r="AV38">
        <v>44000</v>
      </c>
      <c r="AW38">
        <v>45000</v>
      </c>
      <c r="AX38">
        <v>46000</v>
      </c>
      <c r="AY38">
        <v>47000</v>
      </c>
      <c r="AZ38">
        <v>48000</v>
      </c>
      <c r="BA38">
        <v>49000</v>
      </c>
      <c r="BB38">
        <v>50000</v>
      </c>
      <c r="BC38">
        <v>51000</v>
      </c>
      <c r="BD38">
        <v>52000</v>
      </c>
      <c r="BE38">
        <v>53000</v>
      </c>
      <c r="BF38">
        <v>54000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</row>
    <row r="39" spans="1:76" x14ac:dyDescent="0.25">
      <c r="A39" s="1" t="s">
        <v>154</v>
      </c>
      <c r="B39" s="1">
        <v>2</v>
      </c>
      <c r="C39" s="1">
        <v>67</v>
      </c>
      <c r="D39" s="12"/>
      <c r="E39" s="12"/>
      <c r="F39">
        <v>25000</v>
      </c>
      <c r="G39">
        <v>26000</v>
      </c>
      <c r="H39">
        <v>27000</v>
      </c>
      <c r="I39">
        <v>28000</v>
      </c>
      <c r="J39">
        <v>29000</v>
      </c>
      <c r="K39">
        <v>30000</v>
      </c>
      <c r="L39">
        <v>31000</v>
      </c>
      <c r="M39">
        <v>32000</v>
      </c>
      <c r="N39">
        <v>33000</v>
      </c>
      <c r="O39">
        <v>34000</v>
      </c>
      <c r="P39">
        <v>35000</v>
      </c>
      <c r="Q39">
        <v>36000</v>
      </c>
      <c r="R39">
        <v>37000</v>
      </c>
      <c r="S39">
        <v>38000</v>
      </c>
      <c r="T39">
        <v>39000</v>
      </c>
      <c r="U39">
        <v>40000</v>
      </c>
      <c r="V39">
        <v>41000</v>
      </c>
      <c r="W39">
        <v>42000</v>
      </c>
      <c r="X39">
        <v>43000</v>
      </c>
      <c r="Y39">
        <v>44000</v>
      </c>
      <c r="Z39">
        <v>45000</v>
      </c>
      <c r="AA39">
        <v>46000</v>
      </c>
      <c r="AB39">
        <v>47000</v>
      </c>
      <c r="AC39">
        <v>48000</v>
      </c>
      <c r="AD39">
        <v>49000</v>
      </c>
      <c r="AE39">
        <v>50000</v>
      </c>
      <c r="AF39">
        <v>51000</v>
      </c>
      <c r="AG39">
        <v>52000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</row>
    <row r="40" spans="1:76" x14ac:dyDescent="0.25">
      <c r="A40" s="1" t="s">
        <v>153</v>
      </c>
      <c r="B40" s="1">
        <v>3</v>
      </c>
      <c r="C40" s="1">
        <v>70</v>
      </c>
      <c r="D40" s="12">
        <v>72</v>
      </c>
      <c r="E40" s="12"/>
      <c r="F40">
        <v>0</v>
      </c>
      <c r="G40">
        <v>0</v>
      </c>
      <c r="H40">
        <v>7200</v>
      </c>
      <c r="I40">
        <v>7200</v>
      </c>
      <c r="J40">
        <v>7200</v>
      </c>
      <c r="K40">
        <v>7200</v>
      </c>
      <c r="L40">
        <v>7200</v>
      </c>
      <c r="M40">
        <v>7200</v>
      </c>
      <c r="N40">
        <v>7200</v>
      </c>
      <c r="O40">
        <v>7200</v>
      </c>
      <c r="P40">
        <v>7200</v>
      </c>
      <c r="Q40">
        <v>7200</v>
      </c>
      <c r="R40">
        <v>7200</v>
      </c>
      <c r="S40">
        <v>7200</v>
      </c>
      <c r="T40">
        <v>7200</v>
      </c>
      <c r="U40">
        <v>7200</v>
      </c>
      <c r="V40">
        <v>7200</v>
      </c>
      <c r="W40">
        <v>7200</v>
      </c>
      <c r="X40">
        <v>7200</v>
      </c>
      <c r="Y40">
        <v>7200</v>
      </c>
      <c r="Z40">
        <v>7200</v>
      </c>
      <c r="AA40">
        <v>7200</v>
      </c>
      <c r="AB40">
        <v>7200</v>
      </c>
      <c r="AC40">
        <v>7200</v>
      </c>
      <c r="AD40">
        <v>7200</v>
      </c>
      <c r="AE40">
        <v>7200</v>
      </c>
      <c r="AF40">
        <v>7200</v>
      </c>
      <c r="AG40">
        <v>7200</v>
      </c>
      <c r="AH40">
        <v>7200</v>
      </c>
      <c r="AI40">
        <v>7200</v>
      </c>
      <c r="AJ40">
        <v>7200</v>
      </c>
      <c r="AK40">
        <v>7200</v>
      </c>
      <c r="AL40">
        <v>7200</v>
      </c>
      <c r="AM40">
        <v>7200</v>
      </c>
      <c r="AN40">
        <v>7200</v>
      </c>
      <c r="AO40">
        <v>7200</v>
      </c>
      <c r="AP40">
        <v>7200</v>
      </c>
      <c r="AQ40">
        <v>7200</v>
      </c>
      <c r="AR40">
        <v>7200</v>
      </c>
      <c r="AS40">
        <v>7200</v>
      </c>
      <c r="AT40">
        <v>7200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</row>
    <row r="41" spans="1:76" x14ac:dyDescent="0.25">
      <c r="A41" s="1" t="s">
        <v>152</v>
      </c>
      <c r="B41" s="1">
        <v>1</v>
      </c>
      <c r="C41" s="1">
        <v>69</v>
      </c>
      <c r="D41" s="12">
        <v>78</v>
      </c>
      <c r="E41" s="12">
        <v>6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15000</v>
      </c>
      <c r="P41">
        <v>15000</v>
      </c>
      <c r="Q41">
        <v>15000</v>
      </c>
      <c r="R41">
        <v>15000</v>
      </c>
      <c r="S41">
        <v>15000</v>
      </c>
      <c r="T41">
        <v>15000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</row>
    <row r="42" spans="1:76" x14ac:dyDescent="0.25">
      <c r="A42" s="1" t="s">
        <v>151</v>
      </c>
      <c r="B42" s="1">
        <v>2</v>
      </c>
      <c r="C42" s="1">
        <v>41</v>
      </c>
      <c r="D42" s="12"/>
      <c r="E42" s="12"/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25000</v>
      </c>
      <c r="AE42">
        <v>26000</v>
      </c>
      <c r="AF42">
        <v>27000</v>
      </c>
      <c r="AG42">
        <v>28000</v>
      </c>
      <c r="AH42">
        <v>29000</v>
      </c>
      <c r="AI42">
        <v>30000</v>
      </c>
      <c r="AJ42">
        <v>31000</v>
      </c>
      <c r="AK42">
        <v>32000</v>
      </c>
      <c r="AL42">
        <v>33000</v>
      </c>
      <c r="AM42">
        <v>34000</v>
      </c>
      <c r="AN42">
        <v>35000</v>
      </c>
      <c r="AO42">
        <v>36000</v>
      </c>
      <c r="AP42">
        <v>37000</v>
      </c>
      <c r="AQ42">
        <v>38000</v>
      </c>
      <c r="AR42">
        <v>39000</v>
      </c>
      <c r="AS42">
        <v>40000</v>
      </c>
      <c r="AT42">
        <v>41000</v>
      </c>
      <c r="AU42">
        <v>42000</v>
      </c>
      <c r="AV42">
        <v>43000</v>
      </c>
      <c r="AW42">
        <v>44000</v>
      </c>
      <c r="AX42">
        <v>45000</v>
      </c>
      <c r="AY42">
        <v>46000</v>
      </c>
      <c r="AZ42">
        <v>47000</v>
      </c>
      <c r="BA42">
        <v>48000</v>
      </c>
      <c r="BB42">
        <v>49000</v>
      </c>
      <c r="BC42">
        <v>50000</v>
      </c>
      <c r="BD42">
        <v>51000</v>
      </c>
      <c r="BE42">
        <v>52000</v>
      </c>
      <c r="BF42">
        <v>53000</v>
      </c>
      <c r="BG42">
        <v>54000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</row>
    <row r="43" spans="1:76" x14ac:dyDescent="0.25">
      <c r="A43" s="1" t="s">
        <v>150</v>
      </c>
      <c r="B43" s="1">
        <v>2</v>
      </c>
      <c r="C43" s="1">
        <v>49</v>
      </c>
      <c r="D43" s="12"/>
      <c r="E43" s="12"/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25000</v>
      </c>
      <c r="W43">
        <v>26000</v>
      </c>
      <c r="X43">
        <v>27000</v>
      </c>
      <c r="Y43">
        <v>28000</v>
      </c>
      <c r="Z43">
        <v>29000</v>
      </c>
      <c r="AA43">
        <v>30000</v>
      </c>
      <c r="AB43">
        <v>31000</v>
      </c>
      <c r="AC43">
        <v>32000</v>
      </c>
      <c r="AD43">
        <v>33000</v>
      </c>
      <c r="AE43">
        <v>34000</v>
      </c>
      <c r="AF43">
        <v>35000</v>
      </c>
      <c r="AG43">
        <v>36000</v>
      </c>
      <c r="AH43">
        <v>37000</v>
      </c>
      <c r="AI43">
        <v>38000</v>
      </c>
      <c r="AJ43">
        <v>39000</v>
      </c>
      <c r="AK43">
        <v>40000</v>
      </c>
      <c r="AL43">
        <v>41000</v>
      </c>
      <c r="AM43">
        <v>42000</v>
      </c>
      <c r="AN43">
        <v>43000</v>
      </c>
      <c r="AO43">
        <v>44000</v>
      </c>
      <c r="AP43">
        <v>45000</v>
      </c>
      <c r="AQ43">
        <v>46000</v>
      </c>
      <c r="AR43">
        <v>47000</v>
      </c>
      <c r="AS43">
        <v>48000</v>
      </c>
      <c r="AT43">
        <v>49000</v>
      </c>
      <c r="AU43">
        <v>50000</v>
      </c>
      <c r="AV43">
        <v>51000</v>
      </c>
      <c r="AW43">
        <v>52000</v>
      </c>
      <c r="AX43">
        <v>53000</v>
      </c>
      <c r="AY43">
        <v>54000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</row>
    <row r="44" spans="1:76" x14ac:dyDescent="0.25">
      <c r="A44" s="1" t="s">
        <v>149</v>
      </c>
      <c r="B44" s="1">
        <v>7</v>
      </c>
      <c r="C44" s="1">
        <v>44</v>
      </c>
      <c r="D44" s="12">
        <v>59</v>
      </c>
      <c r="E44" s="12">
        <v>6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30000</v>
      </c>
      <c r="V44">
        <v>0</v>
      </c>
      <c r="W44">
        <v>30000</v>
      </c>
      <c r="X44">
        <v>0</v>
      </c>
      <c r="Y44">
        <v>30000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</row>
    <row r="45" spans="1:76" x14ac:dyDescent="0.25">
      <c r="A45" s="1" t="s">
        <v>148</v>
      </c>
      <c r="B45" s="1">
        <v>6</v>
      </c>
      <c r="C45" s="1">
        <v>45</v>
      </c>
      <c r="D45" s="12">
        <v>52</v>
      </c>
      <c r="E45" s="12">
        <v>20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5000</v>
      </c>
      <c r="N45">
        <v>5000</v>
      </c>
      <c r="O45">
        <v>5000</v>
      </c>
      <c r="P45">
        <v>5000</v>
      </c>
      <c r="Q45">
        <v>5000</v>
      </c>
      <c r="R45">
        <v>5000</v>
      </c>
      <c r="S45">
        <v>5000</v>
      </c>
      <c r="T45">
        <v>5000</v>
      </c>
      <c r="U45">
        <v>5000</v>
      </c>
      <c r="V45">
        <v>5000</v>
      </c>
      <c r="W45">
        <v>5000</v>
      </c>
      <c r="X45">
        <v>5000</v>
      </c>
      <c r="Y45">
        <v>5000</v>
      </c>
      <c r="Z45">
        <v>5000</v>
      </c>
      <c r="AA45">
        <v>5000</v>
      </c>
      <c r="AB45">
        <v>5000</v>
      </c>
      <c r="AC45">
        <v>5000</v>
      </c>
      <c r="AD45">
        <v>5000</v>
      </c>
      <c r="AE45">
        <v>5000</v>
      </c>
      <c r="AF45">
        <v>5000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</row>
    <row r="46" spans="1:76" x14ac:dyDescent="0.25">
      <c r="A46" s="1" t="s">
        <v>147</v>
      </c>
      <c r="B46" s="1">
        <v>4</v>
      </c>
      <c r="C46" s="1">
        <v>50</v>
      </c>
      <c r="D46" s="12"/>
      <c r="E46" s="12"/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60000</v>
      </c>
      <c r="Q46">
        <v>61000</v>
      </c>
      <c r="R46">
        <v>62000</v>
      </c>
      <c r="S46">
        <v>63000</v>
      </c>
      <c r="T46">
        <v>64000</v>
      </c>
      <c r="U46">
        <v>65000</v>
      </c>
      <c r="V46">
        <v>66000</v>
      </c>
      <c r="W46">
        <v>67000</v>
      </c>
      <c r="X46">
        <v>68000</v>
      </c>
      <c r="Y46">
        <v>69000</v>
      </c>
      <c r="Z46">
        <v>70000</v>
      </c>
      <c r="AA46">
        <v>71000</v>
      </c>
      <c r="AB46">
        <v>72000</v>
      </c>
      <c r="AC46">
        <v>73000</v>
      </c>
      <c r="AD46">
        <v>74000</v>
      </c>
      <c r="AE46">
        <v>75000</v>
      </c>
      <c r="AF46">
        <v>76000</v>
      </c>
      <c r="AG46">
        <v>77000</v>
      </c>
      <c r="AH46">
        <v>78000</v>
      </c>
      <c r="AI46">
        <v>79000</v>
      </c>
      <c r="AJ46">
        <v>80000</v>
      </c>
      <c r="AK46">
        <v>81000</v>
      </c>
      <c r="AL46">
        <v>82000</v>
      </c>
      <c r="AM46">
        <v>83000</v>
      </c>
      <c r="AN46">
        <v>84000</v>
      </c>
      <c r="AO46">
        <v>85000</v>
      </c>
      <c r="AP46">
        <v>86000</v>
      </c>
      <c r="AQ46">
        <v>87000</v>
      </c>
      <c r="AR46">
        <v>88000</v>
      </c>
      <c r="AS46">
        <v>89000</v>
      </c>
      <c r="AT46">
        <v>90000</v>
      </c>
      <c r="AU46">
        <v>91000</v>
      </c>
      <c r="AV46">
        <v>92000</v>
      </c>
      <c r="AW46">
        <v>93000</v>
      </c>
      <c r="AX46">
        <v>94000</v>
      </c>
      <c r="AY46">
        <v>95000</v>
      </c>
      <c r="AZ46">
        <v>96000</v>
      </c>
      <c r="BA46">
        <v>97000</v>
      </c>
      <c r="BB46">
        <v>98000</v>
      </c>
      <c r="BC46">
        <v>99000</v>
      </c>
      <c r="BD46">
        <v>100000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</row>
    <row r="47" spans="1:76" x14ac:dyDescent="0.25">
      <c r="A47" s="1" t="s">
        <v>146</v>
      </c>
      <c r="B47" s="1">
        <v>7</v>
      </c>
      <c r="C47" s="1">
        <v>49</v>
      </c>
      <c r="D47" s="12">
        <v>63</v>
      </c>
      <c r="E47" s="12">
        <v>11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30000</v>
      </c>
      <c r="U47">
        <v>0</v>
      </c>
      <c r="V47">
        <v>30000</v>
      </c>
      <c r="W47">
        <v>0</v>
      </c>
      <c r="X47">
        <v>30000</v>
      </c>
      <c r="Y47">
        <v>0</v>
      </c>
      <c r="Z47">
        <v>30000</v>
      </c>
      <c r="AA47">
        <v>0</v>
      </c>
      <c r="AB47">
        <v>30000</v>
      </c>
      <c r="AC47">
        <v>0</v>
      </c>
      <c r="AD47">
        <v>30000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</row>
    <row r="48" spans="1:76" x14ac:dyDescent="0.25">
      <c r="A48" s="1" t="s">
        <v>145</v>
      </c>
      <c r="B48" s="1">
        <v>6</v>
      </c>
      <c r="C48" s="1">
        <v>55</v>
      </c>
      <c r="D48" s="12">
        <v>57</v>
      </c>
      <c r="E48" s="12">
        <v>5</v>
      </c>
      <c r="F48">
        <v>0</v>
      </c>
      <c r="G48">
        <v>0</v>
      </c>
      <c r="H48">
        <v>20000</v>
      </c>
      <c r="I48">
        <v>20000</v>
      </c>
      <c r="J48">
        <v>20000</v>
      </c>
      <c r="K48">
        <v>20000</v>
      </c>
      <c r="L48">
        <v>20000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</row>
    <row r="49" spans="1:76" x14ac:dyDescent="0.25">
      <c r="A49" s="1" t="s">
        <v>144</v>
      </c>
      <c r="B49" s="1">
        <v>2</v>
      </c>
      <c r="C49" s="1">
        <v>58</v>
      </c>
      <c r="D49" s="12"/>
      <c r="E49" s="12"/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25000</v>
      </c>
      <c r="N49">
        <v>26000</v>
      </c>
      <c r="O49">
        <v>27000</v>
      </c>
      <c r="P49">
        <v>28000</v>
      </c>
      <c r="Q49">
        <v>29000</v>
      </c>
      <c r="R49">
        <v>30000</v>
      </c>
      <c r="S49">
        <v>31000</v>
      </c>
      <c r="T49">
        <v>32000</v>
      </c>
      <c r="U49">
        <v>33000</v>
      </c>
      <c r="V49">
        <v>34000</v>
      </c>
      <c r="W49">
        <v>35000</v>
      </c>
      <c r="X49">
        <v>36000</v>
      </c>
      <c r="Y49">
        <v>37000</v>
      </c>
      <c r="Z49">
        <v>38000</v>
      </c>
      <c r="AA49">
        <v>39000</v>
      </c>
      <c r="AB49">
        <v>40000</v>
      </c>
      <c r="AC49">
        <v>41000</v>
      </c>
      <c r="AD49">
        <v>42000</v>
      </c>
      <c r="AE49">
        <v>43000</v>
      </c>
      <c r="AF49">
        <v>44000</v>
      </c>
      <c r="AG49">
        <v>45000</v>
      </c>
      <c r="AH49">
        <v>46000</v>
      </c>
      <c r="AI49">
        <v>47000</v>
      </c>
      <c r="AJ49">
        <v>48000</v>
      </c>
      <c r="AK49">
        <v>49000</v>
      </c>
      <c r="AL49">
        <v>50000</v>
      </c>
      <c r="AM49">
        <v>51000</v>
      </c>
      <c r="AN49">
        <v>52000</v>
      </c>
      <c r="AO49">
        <v>53000</v>
      </c>
      <c r="AP49">
        <v>54000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</row>
    <row r="50" spans="1:76" x14ac:dyDescent="0.25">
      <c r="A50" s="1" t="s">
        <v>143</v>
      </c>
      <c r="B50" s="1">
        <v>6</v>
      </c>
      <c r="C50" s="1">
        <v>60</v>
      </c>
      <c r="D50" s="12">
        <v>73</v>
      </c>
      <c r="E50" s="12">
        <v>18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5555.5555555555557</v>
      </c>
      <c r="T50">
        <v>5555.5555555555557</v>
      </c>
      <c r="U50">
        <v>5555.5555555555557</v>
      </c>
      <c r="V50">
        <v>5555.5555555555557</v>
      </c>
      <c r="W50">
        <v>5555.5555555555557</v>
      </c>
      <c r="X50">
        <v>5555.5555555555557</v>
      </c>
      <c r="Y50">
        <v>5555.5555555555557</v>
      </c>
      <c r="Z50">
        <v>5555.5555555555557</v>
      </c>
      <c r="AA50">
        <v>5555.5555555555557</v>
      </c>
      <c r="AB50">
        <v>5555.5555555555557</v>
      </c>
      <c r="AC50">
        <v>5555.5555555555557</v>
      </c>
      <c r="AD50">
        <v>5555.5555555555557</v>
      </c>
      <c r="AE50">
        <v>5555.5555555555557</v>
      </c>
      <c r="AF50">
        <v>5555.5555555555557</v>
      </c>
      <c r="AG50">
        <v>5555.5555555555557</v>
      </c>
      <c r="AH50">
        <v>5555.5555555555557</v>
      </c>
      <c r="AI50">
        <v>5555.5555555555557</v>
      </c>
      <c r="AJ50">
        <v>5555.5555555555557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</row>
    <row r="51" spans="1:76" x14ac:dyDescent="0.25">
      <c r="A51" s="1" t="s">
        <v>142</v>
      </c>
      <c r="B51" s="1">
        <v>7</v>
      </c>
      <c r="C51" s="1">
        <v>59</v>
      </c>
      <c r="D51" s="12">
        <v>60</v>
      </c>
      <c r="E51" s="12">
        <v>16</v>
      </c>
      <c r="F51">
        <v>0</v>
      </c>
      <c r="G51">
        <v>30000</v>
      </c>
      <c r="H51">
        <v>0</v>
      </c>
      <c r="I51">
        <v>30000</v>
      </c>
      <c r="J51">
        <v>0</v>
      </c>
      <c r="K51">
        <v>30000</v>
      </c>
      <c r="L51">
        <v>0</v>
      </c>
      <c r="M51">
        <v>30000</v>
      </c>
      <c r="N51">
        <v>0</v>
      </c>
      <c r="O51">
        <v>30000</v>
      </c>
      <c r="P51">
        <v>0</v>
      </c>
      <c r="Q51">
        <v>30000</v>
      </c>
      <c r="R51">
        <v>0</v>
      </c>
      <c r="S51">
        <v>30000</v>
      </c>
      <c r="T51">
        <v>0</v>
      </c>
      <c r="U51">
        <v>30000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</row>
    <row r="52" spans="1:76" x14ac:dyDescent="0.25">
      <c r="A52" s="1" t="s">
        <v>141</v>
      </c>
      <c r="B52" s="1">
        <v>5</v>
      </c>
      <c r="C52" s="1">
        <v>42</v>
      </c>
      <c r="D52" s="12">
        <v>55</v>
      </c>
      <c r="E52" s="12">
        <v>18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19000</v>
      </c>
      <c r="T52">
        <v>19000</v>
      </c>
      <c r="U52">
        <v>19000</v>
      </c>
      <c r="V52">
        <v>19000</v>
      </c>
      <c r="W52">
        <v>19000</v>
      </c>
      <c r="X52">
        <v>19000</v>
      </c>
      <c r="Y52">
        <v>19000</v>
      </c>
      <c r="Z52">
        <v>19000</v>
      </c>
      <c r="AA52">
        <v>19000</v>
      </c>
      <c r="AB52">
        <v>25000</v>
      </c>
      <c r="AC52">
        <v>25000</v>
      </c>
      <c r="AD52">
        <v>25000</v>
      </c>
      <c r="AE52">
        <v>25000</v>
      </c>
      <c r="AF52">
        <v>25000</v>
      </c>
      <c r="AG52">
        <v>25000</v>
      </c>
      <c r="AH52">
        <v>25000</v>
      </c>
      <c r="AI52">
        <v>25000</v>
      </c>
      <c r="AJ52">
        <v>25000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</row>
    <row r="53" spans="1:76" x14ac:dyDescent="0.25">
      <c r="A53" s="1" t="s">
        <v>140</v>
      </c>
      <c r="B53" s="1">
        <v>3</v>
      </c>
      <c r="C53" s="1">
        <v>66</v>
      </c>
      <c r="D53" s="12">
        <v>78</v>
      </c>
      <c r="E53" s="12"/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7200</v>
      </c>
      <c r="S53">
        <v>7200</v>
      </c>
      <c r="T53">
        <v>7200</v>
      </c>
      <c r="U53">
        <v>7200</v>
      </c>
      <c r="V53">
        <v>7200</v>
      </c>
      <c r="W53">
        <v>7200</v>
      </c>
      <c r="X53">
        <v>7200</v>
      </c>
      <c r="Y53">
        <v>7200</v>
      </c>
      <c r="Z53">
        <v>7200</v>
      </c>
      <c r="AA53">
        <v>7200</v>
      </c>
      <c r="AB53">
        <v>7200</v>
      </c>
      <c r="AC53">
        <v>7200</v>
      </c>
      <c r="AD53">
        <v>7200</v>
      </c>
      <c r="AE53">
        <v>7200</v>
      </c>
      <c r="AF53">
        <v>7200</v>
      </c>
      <c r="AG53">
        <v>7200</v>
      </c>
      <c r="AH53">
        <v>7200</v>
      </c>
      <c r="AI53">
        <v>7200</v>
      </c>
      <c r="AJ53">
        <v>7200</v>
      </c>
      <c r="AK53">
        <v>7200</v>
      </c>
      <c r="AL53">
        <v>7200</v>
      </c>
      <c r="AM53">
        <v>7200</v>
      </c>
      <c r="AN53">
        <v>7200</v>
      </c>
      <c r="AO53">
        <v>7200</v>
      </c>
      <c r="AP53">
        <v>7200</v>
      </c>
      <c r="AQ53">
        <v>7200</v>
      </c>
      <c r="AR53">
        <v>7200</v>
      </c>
      <c r="AS53">
        <v>7200</v>
      </c>
      <c r="AT53">
        <v>7200</v>
      </c>
      <c r="AU53">
        <v>7200</v>
      </c>
      <c r="AV53">
        <v>7200</v>
      </c>
      <c r="AW53">
        <v>7200</v>
      </c>
      <c r="AX53">
        <v>7200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</row>
    <row r="54" spans="1:76" x14ac:dyDescent="0.25">
      <c r="A54" s="1" t="s">
        <v>139</v>
      </c>
      <c r="B54" s="1">
        <v>3</v>
      </c>
      <c r="C54" s="1">
        <v>49</v>
      </c>
      <c r="D54" s="12">
        <v>50</v>
      </c>
      <c r="E54" s="12"/>
      <c r="F54">
        <v>0</v>
      </c>
      <c r="G54">
        <v>7200</v>
      </c>
      <c r="H54">
        <v>7200</v>
      </c>
      <c r="I54">
        <v>7200</v>
      </c>
      <c r="J54">
        <v>7200</v>
      </c>
      <c r="K54">
        <v>7200</v>
      </c>
      <c r="L54">
        <v>7200</v>
      </c>
      <c r="M54">
        <v>7200</v>
      </c>
      <c r="N54">
        <v>7200</v>
      </c>
      <c r="O54">
        <v>7200</v>
      </c>
      <c r="P54">
        <v>7200</v>
      </c>
      <c r="Q54">
        <v>7200</v>
      </c>
      <c r="R54">
        <v>7200</v>
      </c>
      <c r="S54">
        <v>7200</v>
      </c>
      <c r="T54">
        <v>7200</v>
      </c>
      <c r="U54">
        <v>7200</v>
      </c>
      <c r="V54">
        <v>7200</v>
      </c>
      <c r="W54">
        <v>7200</v>
      </c>
      <c r="X54">
        <v>7200</v>
      </c>
      <c r="Y54">
        <v>7200</v>
      </c>
      <c r="Z54">
        <v>7200</v>
      </c>
      <c r="AA54">
        <v>7200</v>
      </c>
      <c r="AB54">
        <v>7200</v>
      </c>
      <c r="AC54">
        <v>7200</v>
      </c>
      <c r="AD54">
        <v>7200</v>
      </c>
      <c r="AE54">
        <v>7200</v>
      </c>
      <c r="AF54">
        <v>7200</v>
      </c>
      <c r="AG54">
        <v>7200</v>
      </c>
      <c r="AH54">
        <v>7200</v>
      </c>
      <c r="AI54">
        <v>7200</v>
      </c>
      <c r="AJ54">
        <v>7200</v>
      </c>
      <c r="AK54">
        <v>7200</v>
      </c>
      <c r="AL54">
        <v>7200</v>
      </c>
      <c r="AM54">
        <v>7200</v>
      </c>
      <c r="AN54">
        <v>7200</v>
      </c>
      <c r="AO54">
        <v>7200</v>
      </c>
      <c r="AP54">
        <v>7200</v>
      </c>
      <c r="AQ54">
        <v>7200</v>
      </c>
      <c r="AR54">
        <v>7200</v>
      </c>
      <c r="AS54">
        <v>7200</v>
      </c>
      <c r="AT54">
        <v>7200</v>
      </c>
      <c r="AU54">
        <v>7200</v>
      </c>
      <c r="AV54">
        <v>7200</v>
      </c>
      <c r="AW54">
        <v>7200</v>
      </c>
      <c r="AX54">
        <v>7200</v>
      </c>
      <c r="AY54">
        <v>7200</v>
      </c>
      <c r="AZ54">
        <v>7200</v>
      </c>
      <c r="BA54">
        <v>7200</v>
      </c>
      <c r="BB54">
        <v>7200</v>
      </c>
      <c r="BC54">
        <v>7200</v>
      </c>
      <c r="BD54">
        <v>7200</v>
      </c>
      <c r="BE54">
        <v>7200</v>
      </c>
      <c r="BF54">
        <v>7200</v>
      </c>
      <c r="BG54">
        <v>7200</v>
      </c>
      <c r="BH54">
        <v>7200</v>
      </c>
      <c r="BI54">
        <v>7200</v>
      </c>
      <c r="BJ54">
        <v>7200</v>
      </c>
      <c r="BK54">
        <v>7200</v>
      </c>
      <c r="BL54">
        <v>7200</v>
      </c>
      <c r="BM54">
        <v>7200</v>
      </c>
      <c r="BN54">
        <v>7200</v>
      </c>
      <c r="BO54">
        <v>7200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</row>
    <row r="55" spans="1:76" x14ac:dyDescent="0.25">
      <c r="A55" s="1" t="s">
        <v>138</v>
      </c>
      <c r="B55" s="1">
        <v>1</v>
      </c>
      <c r="C55" s="1">
        <v>54</v>
      </c>
      <c r="D55" s="12">
        <v>55</v>
      </c>
      <c r="E55" s="12">
        <v>12</v>
      </c>
      <c r="F55">
        <v>0</v>
      </c>
      <c r="G55">
        <v>15000</v>
      </c>
      <c r="H55">
        <v>15000</v>
      </c>
      <c r="I55">
        <v>15000</v>
      </c>
      <c r="J55">
        <v>15000</v>
      </c>
      <c r="K55">
        <v>15000</v>
      </c>
      <c r="L55">
        <v>15000</v>
      </c>
      <c r="M55">
        <v>15000</v>
      </c>
      <c r="N55">
        <v>15000</v>
      </c>
      <c r="O55">
        <v>15000</v>
      </c>
      <c r="P55">
        <v>15000</v>
      </c>
      <c r="Q55">
        <v>15000</v>
      </c>
      <c r="R55">
        <v>15000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</row>
    <row r="56" spans="1:76" x14ac:dyDescent="0.25">
      <c r="A56" s="1" t="s">
        <v>137</v>
      </c>
      <c r="B56" s="1">
        <v>4</v>
      </c>
      <c r="C56" s="1">
        <v>56</v>
      </c>
      <c r="D56" s="12"/>
      <c r="E56" s="12"/>
      <c r="F56">
        <v>0</v>
      </c>
      <c r="G56">
        <v>0</v>
      </c>
      <c r="H56">
        <v>0</v>
      </c>
      <c r="I56">
        <v>0</v>
      </c>
      <c r="J56">
        <v>60000</v>
      </c>
      <c r="K56">
        <v>61000</v>
      </c>
      <c r="L56">
        <v>62000</v>
      </c>
      <c r="M56">
        <v>63000</v>
      </c>
      <c r="N56">
        <v>64000</v>
      </c>
      <c r="O56">
        <v>65000</v>
      </c>
      <c r="P56">
        <v>66000</v>
      </c>
      <c r="Q56">
        <v>67000</v>
      </c>
      <c r="R56">
        <v>68000</v>
      </c>
      <c r="S56">
        <v>69000</v>
      </c>
      <c r="T56">
        <v>70000</v>
      </c>
      <c r="U56">
        <v>71000</v>
      </c>
      <c r="V56">
        <v>72000</v>
      </c>
      <c r="W56">
        <v>73000</v>
      </c>
      <c r="X56">
        <v>74000</v>
      </c>
      <c r="Y56">
        <v>75000</v>
      </c>
      <c r="Z56">
        <v>76000</v>
      </c>
      <c r="AA56">
        <v>77000</v>
      </c>
      <c r="AB56">
        <v>78000</v>
      </c>
      <c r="AC56">
        <v>79000</v>
      </c>
      <c r="AD56">
        <v>80000</v>
      </c>
      <c r="AE56">
        <v>81000</v>
      </c>
      <c r="AF56">
        <v>82000</v>
      </c>
      <c r="AG56">
        <v>83000</v>
      </c>
      <c r="AH56">
        <v>84000</v>
      </c>
      <c r="AI56">
        <v>85000</v>
      </c>
      <c r="AJ56">
        <v>86000</v>
      </c>
      <c r="AK56">
        <v>87000</v>
      </c>
      <c r="AL56">
        <v>88000</v>
      </c>
      <c r="AM56">
        <v>89000</v>
      </c>
      <c r="AN56">
        <v>90000</v>
      </c>
      <c r="AO56">
        <v>91000</v>
      </c>
      <c r="AP56">
        <v>92000</v>
      </c>
      <c r="AQ56">
        <v>93000</v>
      </c>
      <c r="AR56">
        <v>94000</v>
      </c>
      <c r="AS56">
        <v>95000</v>
      </c>
      <c r="AT56">
        <v>96000</v>
      </c>
      <c r="AU56">
        <v>97000</v>
      </c>
      <c r="AV56">
        <v>98000</v>
      </c>
      <c r="AW56">
        <v>99000</v>
      </c>
      <c r="AX56">
        <v>100000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</row>
    <row r="57" spans="1:76" x14ac:dyDescent="0.25">
      <c r="A57" s="1" t="s">
        <v>136</v>
      </c>
      <c r="B57" s="1">
        <v>2</v>
      </c>
      <c r="C57" s="1">
        <v>58</v>
      </c>
      <c r="D57" s="12"/>
      <c r="E57" s="12"/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25000</v>
      </c>
      <c r="N57">
        <v>26000</v>
      </c>
      <c r="O57">
        <v>27000</v>
      </c>
      <c r="P57">
        <v>28000</v>
      </c>
      <c r="Q57">
        <v>29000</v>
      </c>
      <c r="R57">
        <v>30000</v>
      </c>
      <c r="S57">
        <v>31000</v>
      </c>
      <c r="T57">
        <v>32000</v>
      </c>
      <c r="U57">
        <v>33000</v>
      </c>
      <c r="V57">
        <v>34000</v>
      </c>
      <c r="W57">
        <v>35000</v>
      </c>
      <c r="X57">
        <v>36000</v>
      </c>
      <c r="Y57">
        <v>37000</v>
      </c>
      <c r="Z57">
        <v>38000</v>
      </c>
      <c r="AA57">
        <v>39000</v>
      </c>
      <c r="AB57">
        <v>40000</v>
      </c>
      <c r="AC57">
        <v>41000</v>
      </c>
      <c r="AD57">
        <v>42000</v>
      </c>
      <c r="AE57">
        <v>43000</v>
      </c>
      <c r="AF57">
        <v>44000</v>
      </c>
      <c r="AG57">
        <v>45000</v>
      </c>
      <c r="AH57">
        <v>46000</v>
      </c>
      <c r="AI57">
        <v>47000</v>
      </c>
      <c r="AJ57">
        <v>48000</v>
      </c>
      <c r="AK57">
        <v>49000</v>
      </c>
      <c r="AL57">
        <v>50000</v>
      </c>
      <c r="AM57">
        <v>51000</v>
      </c>
      <c r="AN57">
        <v>52000</v>
      </c>
      <c r="AO57">
        <v>53000</v>
      </c>
      <c r="AP57">
        <v>54000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</row>
    <row r="58" spans="1:76" x14ac:dyDescent="0.25">
      <c r="A58" s="1" t="s">
        <v>135</v>
      </c>
      <c r="B58" s="1">
        <v>3</v>
      </c>
      <c r="C58" s="1">
        <v>63</v>
      </c>
      <c r="D58" s="12">
        <v>78</v>
      </c>
      <c r="E58" s="12"/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7200</v>
      </c>
      <c r="V58">
        <v>7200</v>
      </c>
      <c r="W58">
        <v>7200</v>
      </c>
      <c r="X58">
        <v>7200</v>
      </c>
      <c r="Y58">
        <v>7200</v>
      </c>
      <c r="Z58">
        <v>7200</v>
      </c>
      <c r="AA58">
        <v>7200</v>
      </c>
      <c r="AB58">
        <v>7200</v>
      </c>
      <c r="AC58">
        <v>7200</v>
      </c>
      <c r="AD58">
        <v>7200</v>
      </c>
      <c r="AE58">
        <v>7200</v>
      </c>
      <c r="AF58">
        <v>7200</v>
      </c>
      <c r="AG58">
        <v>7200</v>
      </c>
      <c r="AH58">
        <v>7200</v>
      </c>
      <c r="AI58">
        <v>7200</v>
      </c>
      <c r="AJ58">
        <v>7200</v>
      </c>
      <c r="AK58">
        <v>7200</v>
      </c>
      <c r="AL58">
        <v>7200</v>
      </c>
      <c r="AM58">
        <v>7200</v>
      </c>
      <c r="AN58">
        <v>7200</v>
      </c>
      <c r="AO58">
        <v>7200</v>
      </c>
      <c r="AP58">
        <v>7200</v>
      </c>
      <c r="AQ58">
        <v>7200</v>
      </c>
      <c r="AR58">
        <v>7200</v>
      </c>
      <c r="AS58">
        <v>7200</v>
      </c>
      <c r="AT58">
        <v>7200</v>
      </c>
      <c r="AU58">
        <v>7200</v>
      </c>
      <c r="AV58">
        <v>7200</v>
      </c>
      <c r="AW58">
        <v>7200</v>
      </c>
      <c r="AX58">
        <v>7200</v>
      </c>
      <c r="AY58">
        <v>7200</v>
      </c>
      <c r="AZ58">
        <v>7200</v>
      </c>
      <c r="BA58">
        <v>7200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</row>
    <row r="59" spans="1:76" x14ac:dyDescent="0.25">
      <c r="A59" s="1" t="s">
        <v>134</v>
      </c>
      <c r="B59" s="1">
        <v>3</v>
      </c>
      <c r="C59" s="1">
        <v>51</v>
      </c>
      <c r="D59" s="12">
        <v>64</v>
      </c>
      <c r="E59" s="12"/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7200</v>
      </c>
      <c r="T59">
        <v>7200</v>
      </c>
      <c r="U59">
        <v>7200</v>
      </c>
      <c r="V59">
        <v>7200</v>
      </c>
      <c r="W59">
        <v>7200</v>
      </c>
      <c r="X59">
        <v>7200</v>
      </c>
      <c r="Y59">
        <v>7200</v>
      </c>
      <c r="Z59">
        <v>7200</v>
      </c>
      <c r="AA59">
        <v>7200</v>
      </c>
      <c r="AB59">
        <v>7200</v>
      </c>
      <c r="AC59">
        <v>7200</v>
      </c>
      <c r="AD59">
        <v>7200</v>
      </c>
      <c r="AE59">
        <v>7200</v>
      </c>
      <c r="AF59">
        <v>7200</v>
      </c>
      <c r="AG59">
        <v>7200</v>
      </c>
      <c r="AH59">
        <v>7200</v>
      </c>
      <c r="AI59">
        <v>7200</v>
      </c>
      <c r="AJ59">
        <v>7200</v>
      </c>
      <c r="AK59">
        <v>7200</v>
      </c>
      <c r="AL59">
        <v>7200</v>
      </c>
      <c r="AM59">
        <v>7200</v>
      </c>
      <c r="AN59">
        <v>7200</v>
      </c>
      <c r="AO59">
        <v>7200</v>
      </c>
      <c r="AP59">
        <v>7200</v>
      </c>
      <c r="AQ59">
        <v>7200</v>
      </c>
      <c r="AR59">
        <v>7200</v>
      </c>
      <c r="AS59">
        <v>7200</v>
      </c>
      <c r="AT59">
        <v>7200</v>
      </c>
      <c r="AU59">
        <v>7200</v>
      </c>
      <c r="AV59">
        <v>7200</v>
      </c>
      <c r="AW59">
        <v>7200</v>
      </c>
      <c r="AX59">
        <v>7200</v>
      </c>
      <c r="AY59">
        <v>7200</v>
      </c>
      <c r="AZ59">
        <v>7200</v>
      </c>
      <c r="BA59">
        <v>7200</v>
      </c>
      <c r="BB59">
        <v>7200</v>
      </c>
      <c r="BC59">
        <v>7200</v>
      </c>
      <c r="BD59">
        <v>7200</v>
      </c>
      <c r="BE59">
        <v>7200</v>
      </c>
      <c r="BF59">
        <v>7200</v>
      </c>
      <c r="BG59">
        <v>7200</v>
      </c>
      <c r="BH59">
        <v>7200</v>
      </c>
      <c r="BI59">
        <v>7200</v>
      </c>
      <c r="BJ59">
        <v>7200</v>
      </c>
      <c r="BK59">
        <v>7200</v>
      </c>
      <c r="BL59">
        <v>7200</v>
      </c>
      <c r="BM59">
        <v>7200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</row>
    <row r="60" spans="1:76" x14ac:dyDescent="0.25">
      <c r="A60" s="1" t="s">
        <v>133</v>
      </c>
      <c r="B60" s="1">
        <v>4</v>
      </c>
      <c r="C60" s="1">
        <v>55</v>
      </c>
      <c r="D60" s="12"/>
      <c r="E60" s="12"/>
      <c r="F60">
        <v>0</v>
      </c>
      <c r="G60">
        <v>0</v>
      </c>
      <c r="H60">
        <v>0</v>
      </c>
      <c r="I60">
        <v>0</v>
      </c>
      <c r="J60">
        <v>0</v>
      </c>
      <c r="K60">
        <v>60000</v>
      </c>
      <c r="L60">
        <v>61000</v>
      </c>
      <c r="M60">
        <v>62000</v>
      </c>
      <c r="N60">
        <v>63000</v>
      </c>
      <c r="O60">
        <v>64000</v>
      </c>
      <c r="P60">
        <v>65000</v>
      </c>
      <c r="Q60">
        <v>66000</v>
      </c>
      <c r="R60">
        <v>67000</v>
      </c>
      <c r="S60">
        <v>68000</v>
      </c>
      <c r="T60">
        <v>69000</v>
      </c>
      <c r="U60">
        <v>70000</v>
      </c>
      <c r="V60">
        <v>71000</v>
      </c>
      <c r="W60">
        <v>72000</v>
      </c>
      <c r="X60">
        <v>73000</v>
      </c>
      <c r="Y60">
        <v>74000</v>
      </c>
      <c r="Z60">
        <v>75000</v>
      </c>
      <c r="AA60">
        <v>76000</v>
      </c>
      <c r="AB60">
        <v>77000</v>
      </c>
      <c r="AC60">
        <v>78000</v>
      </c>
      <c r="AD60">
        <v>79000</v>
      </c>
      <c r="AE60">
        <v>80000</v>
      </c>
      <c r="AF60">
        <v>81000</v>
      </c>
      <c r="AG60">
        <v>82000</v>
      </c>
      <c r="AH60">
        <v>83000</v>
      </c>
      <c r="AI60">
        <v>84000</v>
      </c>
      <c r="AJ60">
        <v>85000</v>
      </c>
      <c r="AK60">
        <v>86000</v>
      </c>
      <c r="AL60">
        <v>87000</v>
      </c>
      <c r="AM60">
        <v>88000</v>
      </c>
      <c r="AN60">
        <v>89000</v>
      </c>
      <c r="AO60">
        <v>90000</v>
      </c>
      <c r="AP60">
        <v>91000</v>
      </c>
      <c r="AQ60">
        <v>92000</v>
      </c>
      <c r="AR60">
        <v>93000</v>
      </c>
      <c r="AS60">
        <v>94000</v>
      </c>
      <c r="AT60">
        <v>95000</v>
      </c>
      <c r="AU60">
        <v>96000</v>
      </c>
      <c r="AV60">
        <v>97000</v>
      </c>
      <c r="AW60">
        <v>98000</v>
      </c>
      <c r="AX60">
        <v>99000</v>
      </c>
      <c r="AY60">
        <v>100000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</row>
    <row r="61" spans="1:76" x14ac:dyDescent="0.25">
      <c r="A61" s="1" t="s">
        <v>132</v>
      </c>
      <c r="B61" s="1">
        <v>1</v>
      </c>
      <c r="C61" s="1">
        <v>41</v>
      </c>
      <c r="D61" s="12">
        <v>51</v>
      </c>
      <c r="E61" s="12">
        <v>12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15000</v>
      </c>
      <c r="Q61">
        <v>15000</v>
      </c>
      <c r="R61">
        <v>15000</v>
      </c>
      <c r="S61">
        <v>15000</v>
      </c>
      <c r="T61">
        <v>15000</v>
      </c>
      <c r="U61">
        <v>15000</v>
      </c>
      <c r="V61">
        <v>15000</v>
      </c>
      <c r="W61">
        <v>15000</v>
      </c>
      <c r="X61">
        <v>15000</v>
      </c>
      <c r="Y61">
        <v>15000</v>
      </c>
      <c r="Z61">
        <v>15000</v>
      </c>
      <c r="AA61">
        <v>15000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</row>
    <row r="62" spans="1:76" x14ac:dyDescent="0.25">
      <c r="A62" s="1" t="s">
        <v>131</v>
      </c>
      <c r="B62" s="1">
        <v>1</v>
      </c>
      <c r="C62" s="1">
        <v>54</v>
      </c>
      <c r="D62" s="12">
        <v>63</v>
      </c>
      <c r="E62" s="12">
        <v>17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15000</v>
      </c>
      <c r="P62">
        <v>15000</v>
      </c>
      <c r="Q62">
        <v>15000</v>
      </c>
      <c r="R62">
        <v>15000</v>
      </c>
      <c r="S62">
        <v>15000</v>
      </c>
      <c r="T62">
        <v>15000</v>
      </c>
      <c r="U62">
        <v>15000</v>
      </c>
      <c r="V62">
        <v>15000</v>
      </c>
      <c r="W62">
        <v>15000</v>
      </c>
      <c r="X62">
        <v>15000</v>
      </c>
      <c r="Y62">
        <v>15000</v>
      </c>
      <c r="Z62">
        <v>15000</v>
      </c>
      <c r="AA62">
        <v>15000</v>
      </c>
      <c r="AB62">
        <v>15000</v>
      </c>
      <c r="AC62">
        <v>15000</v>
      </c>
      <c r="AD62">
        <v>15000</v>
      </c>
      <c r="AE62">
        <v>15000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</row>
    <row r="63" spans="1:76" x14ac:dyDescent="0.25">
      <c r="A63" s="1" t="s">
        <v>130</v>
      </c>
      <c r="B63" s="1">
        <v>7</v>
      </c>
      <c r="C63" s="1">
        <v>42</v>
      </c>
      <c r="D63" s="12">
        <v>57</v>
      </c>
      <c r="E63" s="12">
        <v>17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30000</v>
      </c>
      <c r="V63">
        <v>0</v>
      </c>
      <c r="W63">
        <v>30000</v>
      </c>
      <c r="X63">
        <v>0</v>
      </c>
      <c r="Y63">
        <v>30000</v>
      </c>
      <c r="Z63">
        <v>0</v>
      </c>
      <c r="AA63">
        <v>30000</v>
      </c>
      <c r="AB63">
        <v>0</v>
      </c>
      <c r="AC63">
        <v>30000</v>
      </c>
      <c r="AD63">
        <v>0</v>
      </c>
      <c r="AE63">
        <v>30000</v>
      </c>
      <c r="AF63">
        <v>0</v>
      </c>
      <c r="AG63">
        <v>30000</v>
      </c>
      <c r="AH63">
        <v>0</v>
      </c>
      <c r="AI63">
        <v>30000</v>
      </c>
      <c r="AJ63">
        <v>0</v>
      </c>
      <c r="AK63">
        <v>30000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</row>
    <row r="64" spans="1:76" x14ac:dyDescent="0.25">
      <c r="A64" s="1" t="s">
        <v>129</v>
      </c>
      <c r="B64" s="1">
        <v>4</v>
      </c>
      <c r="C64" s="1">
        <v>53</v>
      </c>
      <c r="D64" s="12"/>
      <c r="E64" s="12"/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60000</v>
      </c>
      <c r="N64">
        <v>61000</v>
      </c>
      <c r="O64">
        <v>62000</v>
      </c>
      <c r="P64">
        <v>63000</v>
      </c>
      <c r="Q64">
        <v>64000</v>
      </c>
      <c r="R64">
        <v>65000</v>
      </c>
      <c r="S64">
        <v>66000</v>
      </c>
      <c r="T64">
        <v>67000</v>
      </c>
      <c r="U64">
        <v>68000</v>
      </c>
      <c r="V64">
        <v>69000</v>
      </c>
      <c r="W64">
        <v>70000</v>
      </c>
      <c r="X64">
        <v>71000</v>
      </c>
      <c r="Y64">
        <v>72000</v>
      </c>
      <c r="Z64">
        <v>73000</v>
      </c>
      <c r="AA64">
        <v>74000</v>
      </c>
      <c r="AB64">
        <v>75000</v>
      </c>
      <c r="AC64">
        <v>76000</v>
      </c>
      <c r="AD64">
        <v>77000</v>
      </c>
      <c r="AE64">
        <v>78000</v>
      </c>
      <c r="AF64">
        <v>79000</v>
      </c>
      <c r="AG64">
        <v>80000</v>
      </c>
      <c r="AH64">
        <v>81000</v>
      </c>
      <c r="AI64">
        <v>82000</v>
      </c>
      <c r="AJ64">
        <v>83000</v>
      </c>
      <c r="AK64">
        <v>84000</v>
      </c>
      <c r="AL64">
        <v>85000</v>
      </c>
      <c r="AM64">
        <v>86000</v>
      </c>
      <c r="AN64">
        <v>87000</v>
      </c>
      <c r="AO64">
        <v>88000</v>
      </c>
      <c r="AP64">
        <v>89000</v>
      </c>
      <c r="AQ64">
        <v>90000</v>
      </c>
      <c r="AR64">
        <v>91000</v>
      </c>
      <c r="AS64">
        <v>92000</v>
      </c>
      <c r="AT64">
        <v>93000</v>
      </c>
      <c r="AU64">
        <v>94000</v>
      </c>
      <c r="AV64">
        <v>95000</v>
      </c>
      <c r="AW64">
        <v>96000</v>
      </c>
      <c r="AX64">
        <v>97000</v>
      </c>
      <c r="AY64">
        <v>98000</v>
      </c>
      <c r="AZ64">
        <v>99000</v>
      </c>
      <c r="BA64">
        <v>100000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</row>
    <row r="65" spans="1:76" x14ac:dyDescent="0.25">
      <c r="A65" s="1" t="s">
        <v>128</v>
      </c>
      <c r="B65" s="1">
        <v>2</v>
      </c>
      <c r="C65" s="1">
        <v>58</v>
      </c>
      <c r="D65" s="12"/>
      <c r="E65" s="12"/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25000</v>
      </c>
      <c r="N65">
        <v>26000</v>
      </c>
      <c r="O65">
        <v>27000</v>
      </c>
      <c r="P65">
        <v>28000</v>
      </c>
      <c r="Q65">
        <v>29000</v>
      </c>
      <c r="R65">
        <v>30000</v>
      </c>
      <c r="S65">
        <v>31000</v>
      </c>
      <c r="T65">
        <v>32000</v>
      </c>
      <c r="U65">
        <v>33000</v>
      </c>
      <c r="V65">
        <v>34000</v>
      </c>
      <c r="W65">
        <v>35000</v>
      </c>
      <c r="X65">
        <v>36000</v>
      </c>
      <c r="Y65">
        <v>37000</v>
      </c>
      <c r="Z65">
        <v>38000</v>
      </c>
      <c r="AA65">
        <v>39000</v>
      </c>
      <c r="AB65">
        <v>40000</v>
      </c>
      <c r="AC65">
        <v>41000</v>
      </c>
      <c r="AD65">
        <v>42000</v>
      </c>
      <c r="AE65">
        <v>43000</v>
      </c>
      <c r="AF65">
        <v>44000</v>
      </c>
      <c r="AG65">
        <v>45000</v>
      </c>
      <c r="AH65">
        <v>46000</v>
      </c>
      <c r="AI65">
        <v>47000</v>
      </c>
      <c r="AJ65">
        <v>48000</v>
      </c>
      <c r="AK65">
        <v>49000</v>
      </c>
      <c r="AL65">
        <v>50000</v>
      </c>
      <c r="AM65">
        <v>51000</v>
      </c>
      <c r="AN65">
        <v>52000</v>
      </c>
      <c r="AO65">
        <v>53000</v>
      </c>
      <c r="AP65">
        <v>54000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</row>
    <row r="66" spans="1:76" x14ac:dyDescent="0.25">
      <c r="A66" s="1" t="s">
        <v>127</v>
      </c>
      <c r="B66" s="1">
        <v>1</v>
      </c>
      <c r="C66" s="1">
        <v>54</v>
      </c>
      <c r="D66" s="12">
        <v>66</v>
      </c>
      <c r="E66" s="12">
        <v>20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15000</v>
      </c>
      <c r="S66">
        <v>15000</v>
      </c>
      <c r="T66">
        <v>15000</v>
      </c>
      <c r="U66">
        <v>15000</v>
      </c>
      <c r="V66">
        <v>15000</v>
      </c>
      <c r="W66">
        <v>15000</v>
      </c>
      <c r="X66">
        <v>15000</v>
      </c>
      <c r="Y66">
        <v>15000</v>
      </c>
      <c r="Z66">
        <v>15000</v>
      </c>
      <c r="AA66">
        <v>15000</v>
      </c>
      <c r="AB66">
        <v>15000</v>
      </c>
      <c r="AC66">
        <v>15000</v>
      </c>
      <c r="AD66">
        <v>15000</v>
      </c>
      <c r="AE66">
        <v>15000</v>
      </c>
      <c r="AF66">
        <v>15000</v>
      </c>
      <c r="AG66">
        <v>15000</v>
      </c>
      <c r="AH66">
        <v>15000</v>
      </c>
      <c r="AI66">
        <v>15000</v>
      </c>
      <c r="AJ66">
        <v>15000</v>
      </c>
      <c r="AK66">
        <v>15000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</row>
    <row r="67" spans="1:76" x14ac:dyDescent="0.25">
      <c r="A67" s="1" t="s">
        <v>126</v>
      </c>
      <c r="B67" s="1">
        <v>7</v>
      </c>
      <c r="C67" s="1">
        <v>47</v>
      </c>
      <c r="D67" s="12">
        <v>57</v>
      </c>
      <c r="E67" s="12">
        <v>8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30000</v>
      </c>
      <c r="Q67">
        <v>0</v>
      </c>
      <c r="R67">
        <v>30000</v>
      </c>
      <c r="S67">
        <v>0</v>
      </c>
      <c r="T67">
        <v>30000</v>
      </c>
      <c r="U67">
        <v>0</v>
      </c>
      <c r="V67">
        <v>30000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</row>
    <row r="68" spans="1:76" x14ac:dyDescent="0.25">
      <c r="A68" s="1" t="s">
        <v>125</v>
      </c>
      <c r="B68" s="1">
        <v>2</v>
      </c>
      <c r="C68" s="1">
        <v>60</v>
      </c>
      <c r="D68" s="12"/>
      <c r="E68" s="12"/>
      <c r="F68">
        <v>0</v>
      </c>
      <c r="G68">
        <v>0</v>
      </c>
      <c r="H68">
        <v>0</v>
      </c>
      <c r="I68">
        <v>0</v>
      </c>
      <c r="J68">
        <v>0</v>
      </c>
      <c r="K68">
        <v>25000</v>
      </c>
      <c r="L68">
        <v>26000</v>
      </c>
      <c r="M68">
        <v>27000</v>
      </c>
      <c r="N68">
        <v>28000</v>
      </c>
      <c r="O68">
        <v>29000</v>
      </c>
      <c r="P68">
        <v>30000</v>
      </c>
      <c r="Q68">
        <v>31000</v>
      </c>
      <c r="R68">
        <v>32000</v>
      </c>
      <c r="S68">
        <v>33000</v>
      </c>
      <c r="T68">
        <v>34000</v>
      </c>
      <c r="U68">
        <v>35000</v>
      </c>
      <c r="V68">
        <v>36000</v>
      </c>
      <c r="W68">
        <v>37000</v>
      </c>
      <c r="X68">
        <v>38000</v>
      </c>
      <c r="Y68">
        <v>39000</v>
      </c>
      <c r="Z68">
        <v>40000</v>
      </c>
      <c r="AA68">
        <v>41000</v>
      </c>
      <c r="AB68">
        <v>42000</v>
      </c>
      <c r="AC68">
        <v>43000</v>
      </c>
      <c r="AD68">
        <v>44000</v>
      </c>
      <c r="AE68">
        <v>45000</v>
      </c>
      <c r="AF68">
        <v>46000</v>
      </c>
      <c r="AG68">
        <v>47000</v>
      </c>
      <c r="AH68">
        <v>48000</v>
      </c>
      <c r="AI68">
        <v>49000</v>
      </c>
      <c r="AJ68">
        <v>50000</v>
      </c>
      <c r="AK68">
        <v>51000</v>
      </c>
      <c r="AL68">
        <v>52000</v>
      </c>
      <c r="AM68">
        <v>53000</v>
      </c>
      <c r="AN68">
        <v>54000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</row>
    <row r="69" spans="1:76" x14ac:dyDescent="0.25">
      <c r="A69" s="1" t="s">
        <v>124</v>
      </c>
      <c r="B69" s="1">
        <v>2</v>
      </c>
      <c r="C69" s="1">
        <v>49</v>
      </c>
      <c r="D69" s="12"/>
      <c r="E69" s="12"/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25000</v>
      </c>
      <c r="W69">
        <v>26000</v>
      </c>
      <c r="X69">
        <v>27000</v>
      </c>
      <c r="Y69">
        <v>28000</v>
      </c>
      <c r="Z69">
        <v>29000</v>
      </c>
      <c r="AA69">
        <v>30000</v>
      </c>
      <c r="AB69">
        <v>31000</v>
      </c>
      <c r="AC69">
        <v>32000</v>
      </c>
      <c r="AD69">
        <v>33000</v>
      </c>
      <c r="AE69">
        <v>34000</v>
      </c>
      <c r="AF69">
        <v>35000</v>
      </c>
      <c r="AG69">
        <v>36000</v>
      </c>
      <c r="AH69">
        <v>37000</v>
      </c>
      <c r="AI69">
        <v>38000</v>
      </c>
      <c r="AJ69">
        <v>39000</v>
      </c>
      <c r="AK69">
        <v>40000</v>
      </c>
      <c r="AL69">
        <v>41000</v>
      </c>
      <c r="AM69">
        <v>42000</v>
      </c>
      <c r="AN69">
        <v>43000</v>
      </c>
      <c r="AO69">
        <v>44000</v>
      </c>
      <c r="AP69">
        <v>45000</v>
      </c>
      <c r="AQ69">
        <v>46000</v>
      </c>
      <c r="AR69">
        <v>47000</v>
      </c>
      <c r="AS69">
        <v>48000</v>
      </c>
      <c r="AT69">
        <v>49000</v>
      </c>
      <c r="AU69">
        <v>50000</v>
      </c>
      <c r="AV69">
        <v>51000</v>
      </c>
      <c r="AW69">
        <v>52000</v>
      </c>
      <c r="AX69">
        <v>53000</v>
      </c>
      <c r="AY69">
        <v>54000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</row>
    <row r="70" spans="1:76" x14ac:dyDescent="0.25">
      <c r="A70" s="1" t="s">
        <v>123</v>
      </c>
      <c r="B70" s="1">
        <v>3</v>
      </c>
      <c r="C70" s="1">
        <v>53</v>
      </c>
      <c r="D70" s="12">
        <v>58</v>
      </c>
      <c r="E70" s="12"/>
      <c r="F70">
        <v>0</v>
      </c>
      <c r="G70">
        <v>0</v>
      </c>
      <c r="H70">
        <v>0</v>
      </c>
      <c r="I70">
        <v>0</v>
      </c>
      <c r="J70">
        <v>0</v>
      </c>
      <c r="K70">
        <v>7200</v>
      </c>
      <c r="L70">
        <v>7200</v>
      </c>
      <c r="M70">
        <v>7200</v>
      </c>
      <c r="N70">
        <v>7200</v>
      </c>
      <c r="O70">
        <v>7200</v>
      </c>
      <c r="P70">
        <v>7200</v>
      </c>
      <c r="Q70">
        <v>7200</v>
      </c>
      <c r="R70">
        <v>7200</v>
      </c>
      <c r="S70">
        <v>7200</v>
      </c>
      <c r="T70">
        <v>7200</v>
      </c>
      <c r="U70">
        <v>7200</v>
      </c>
      <c r="V70">
        <v>7200</v>
      </c>
      <c r="W70">
        <v>7200</v>
      </c>
      <c r="X70">
        <v>7200</v>
      </c>
      <c r="Y70">
        <v>7200</v>
      </c>
      <c r="Z70">
        <v>7200</v>
      </c>
      <c r="AA70">
        <v>7200</v>
      </c>
      <c r="AB70">
        <v>7200</v>
      </c>
      <c r="AC70">
        <v>7200</v>
      </c>
      <c r="AD70">
        <v>7200</v>
      </c>
      <c r="AE70">
        <v>7200</v>
      </c>
      <c r="AF70">
        <v>7200</v>
      </c>
      <c r="AG70">
        <v>7200</v>
      </c>
      <c r="AH70">
        <v>7200</v>
      </c>
      <c r="AI70">
        <v>7200</v>
      </c>
      <c r="AJ70">
        <v>7200</v>
      </c>
      <c r="AK70">
        <v>7200</v>
      </c>
      <c r="AL70">
        <v>7200</v>
      </c>
      <c r="AM70">
        <v>7200</v>
      </c>
      <c r="AN70">
        <v>7200</v>
      </c>
      <c r="AO70">
        <v>7200</v>
      </c>
      <c r="AP70">
        <v>7200</v>
      </c>
      <c r="AQ70">
        <v>7200</v>
      </c>
      <c r="AR70">
        <v>7200</v>
      </c>
      <c r="AS70">
        <v>7200</v>
      </c>
      <c r="AT70">
        <v>7200</v>
      </c>
      <c r="AU70">
        <v>7200</v>
      </c>
      <c r="AV70">
        <v>7200</v>
      </c>
      <c r="AW70">
        <v>7200</v>
      </c>
      <c r="AX70">
        <v>7200</v>
      </c>
      <c r="AY70">
        <v>7200</v>
      </c>
      <c r="AZ70">
        <v>7200</v>
      </c>
      <c r="BA70">
        <v>7200</v>
      </c>
      <c r="BB70">
        <v>7200</v>
      </c>
      <c r="BC70">
        <v>7200</v>
      </c>
      <c r="BD70">
        <v>7200</v>
      </c>
      <c r="BE70">
        <v>7200</v>
      </c>
      <c r="BF70">
        <v>7200</v>
      </c>
      <c r="BG70">
        <v>7200</v>
      </c>
      <c r="BH70">
        <v>7200</v>
      </c>
      <c r="BI70">
        <v>7200</v>
      </c>
      <c r="BJ70">
        <v>7200</v>
      </c>
      <c r="BK70">
        <v>7200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</row>
    <row r="71" spans="1:76" x14ac:dyDescent="0.25">
      <c r="A71" s="1" t="s">
        <v>122</v>
      </c>
      <c r="B71" s="1">
        <v>7</v>
      </c>
      <c r="C71" s="1">
        <v>50</v>
      </c>
      <c r="D71" s="12">
        <v>50</v>
      </c>
      <c r="E71" s="12">
        <v>15</v>
      </c>
      <c r="F71">
        <v>30000</v>
      </c>
      <c r="G71">
        <v>0</v>
      </c>
      <c r="H71">
        <v>30000</v>
      </c>
      <c r="I71">
        <v>0</v>
      </c>
      <c r="J71">
        <v>30000</v>
      </c>
      <c r="K71">
        <v>0</v>
      </c>
      <c r="L71">
        <v>30000</v>
      </c>
      <c r="M71">
        <v>0</v>
      </c>
      <c r="N71">
        <v>30000</v>
      </c>
      <c r="O71">
        <v>0</v>
      </c>
      <c r="P71">
        <v>30000</v>
      </c>
      <c r="Q71">
        <v>0</v>
      </c>
      <c r="R71">
        <v>30000</v>
      </c>
      <c r="S71">
        <v>0</v>
      </c>
      <c r="T71">
        <v>30000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</row>
    <row r="72" spans="1:76" x14ac:dyDescent="0.25">
      <c r="A72" s="1" t="s">
        <v>121</v>
      </c>
      <c r="B72" s="1">
        <v>7</v>
      </c>
      <c r="C72" s="1">
        <v>44</v>
      </c>
      <c r="D72" s="12">
        <v>46</v>
      </c>
      <c r="E72" s="12">
        <v>9</v>
      </c>
      <c r="F72">
        <v>0</v>
      </c>
      <c r="G72">
        <v>0</v>
      </c>
      <c r="H72">
        <v>30000</v>
      </c>
      <c r="I72">
        <v>0</v>
      </c>
      <c r="J72">
        <v>30000</v>
      </c>
      <c r="K72">
        <v>0</v>
      </c>
      <c r="L72">
        <v>30000</v>
      </c>
      <c r="M72">
        <v>0</v>
      </c>
      <c r="N72">
        <v>30000</v>
      </c>
      <c r="O72">
        <v>0</v>
      </c>
      <c r="P72">
        <v>30000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</row>
    <row r="73" spans="1:76" x14ac:dyDescent="0.25">
      <c r="A73" s="1" t="s">
        <v>120</v>
      </c>
      <c r="B73" s="1">
        <v>1</v>
      </c>
      <c r="C73" s="1">
        <v>56</v>
      </c>
      <c r="D73" s="12">
        <v>59</v>
      </c>
      <c r="E73" s="12">
        <v>14</v>
      </c>
      <c r="F73">
        <v>0</v>
      </c>
      <c r="G73">
        <v>0</v>
      </c>
      <c r="H73">
        <v>0</v>
      </c>
      <c r="I73">
        <v>15000</v>
      </c>
      <c r="J73">
        <v>15000</v>
      </c>
      <c r="K73">
        <v>15000</v>
      </c>
      <c r="L73">
        <v>15000</v>
      </c>
      <c r="M73">
        <v>15000</v>
      </c>
      <c r="N73">
        <v>15000</v>
      </c>
      <c r="O73">
        <v>15000</v>
      </c>
      <c r="P73">
        <v>15000</v>
      </c>
      <c r="Q73">
        <v>15000</v>
      </c>
      <c r="R73">
        <v>15000</v>
      </c>
      <c r="S73">
        <v>15000</v>
      </c>
      <c r="T73">
        <v>15000</v>
      </c>
      <c r="U73">
        <v>15000</v>
      </c>
      <c r="V73">
        <v>15000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</row>
    <row r="74" spans="1:76" x14ac:dyDescent="0.25">
      <c r="A74" s="1" t="s">
        <v>119</v>
      </c>
      <c r="B74" s="1">
        <v>4</v>
      </c>
      <c r="C74" s="1">
        <v>51</v>
      </c>
      <c r="D74" s="12"/>
      <c r="E74" s="12"/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60000</v>
      </c>
      <c r="P74">
        <v>61000</v>
      </c>
      <c r="Q74">
        <v>62000</v>
      </c>
      <c r="R74">
        <v>63000</v>
      </c>
      <c r="S74">
        <v>64000</v>
      </c>
      <c r="T74">
        <v>65000</v>
      </c>
      <c r="U74">
        <v>66000</v>
      </c>
      <c r="V74">
        <v>67000</v>
      </c>
      <c r="W74">
        <v>68000</v>
      </c>
      <c r="X74">
        <v>69000</v>
      </c>
      <c r="Y74">
        <v>70000</v>
      </c>
      <c r="Z74">
        <v>71000</v>
      </c>
      <c r="AA74">
        <v>72000</v>
      </c>
      <c r="AB74">
        <v>73000</v>
      </c>
      <c r="AC74">
        <v>74000</v>
      </c>
      <c r="AD74">
        <v>75000</v>
      </c>
      <c r="AE74">
        <v>76000</v>
      </c>
      <c r="AF74">
        <v>77000</v>
      </c>
      <c r="AG74">
        <v>78000</v>
      </c>
      <c r="AH74">
        <v>79000</v>
      </c>
      <c r="AI74">
        <v>80000</v>
      </c>
      <c r="AJ74">
        <v>81000</v>
      </c>
      <c r="AK74">
        <v>82000</v>
      </c>
      <c r="AL74">
        <v>83000</v>
      </c>
      <c r="AM74">
        <v>84000</v>
      </c>
      <c r="AN74">
        <v>85000</v>
      </c>
      <c r="AO74">
        <v>86000</v>
      </c>
      <c r="AP74">
        <v>87000</v>
      </c>
      <c r="AQ74">
        <v>88000</v>
      </c>
      <c r="AR74">
        <v>89000</v>
      </c>
      <c r="AS74">
        <v>90000</v>
      </c>
      <c r="AT74">
        <v>91000</v>
      </c>
      <c r="AU74">
        <v>92000</v>
      </c>
      <c r="AV74">
        <v>93000</v>
      </c>
      <c r="AW74">
        <v>94000</v>
      </c>
      <c r="AX74">
        <v>95000</v>
      </c>
      <c r="AY74">
        <v>96000</v>
      </c>
      <c r="AZ74">
        <v>97000</v>
      </c>
      <c r="BA74">
        <v>98000</v>
      </c>
      <c r="BB74">
        <v>99000</v>
      </c>
      <c r="BC74">
        <v>100000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</row>
    <row r="75" spans="1:76" x14ac:dyDescent="0.25">
      <c r="A75" s="1" t="s">
        <v>118</v>
      </c>
      <c r="B75" s="1">
        <v>5</v>
      </c>
      <c r="C75" s="1">
        <v>68</v>
      </c>
      <c r="D75" s="12">
        <v>72</v>
      </c>
      <c r="E75" s="12">
        <v>5</v>
      </c>
      <c r="F75">
        <v>0</v>
      </c>
      <c r="G75">
        <v>0</v>
      </c>
      <c r="H75">
        <v>0</v>
      </c>
      <c r="I75">
        <v>0</v>
      </c>
      <c r="J75">
        <v>19000</v>
      </c>
      <c r="K75">
        <v>19000</v>
      </c>
      <c r="L75">
        <v>19000</v>
      </c>
      <c r="M75">
        <v>25000</v>
      </c>
      <c r="N75">
        <v>25000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</row>
    <row r="76" spans="1:76" x14ac:dyDescent="0.25">
      <c r="A76" s="1" t="s">
        <v>117</v>
      </c>
      <c r="B76" s="1">
        <v>3</v>
      </c>
      <c r="C76" s="1">
        <v>57</v>
      </c>
      <c r="D76" s="12">
        <v>64</v>
      </c>
      <c r="E76" s="12"/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7200</v>
      </c>
      <c r="N76">
        <v>7200</v>
      </c>
      <c r="O76">
        <v>7200</v>
      </c>
      <c r="P76">
        <v>7200</v>
      </c>
      <c r="Q76">
        <v>7200</v>
      </c>
      <c r="R76">
        <v>7200</v>
      </c>
      <c r="S76">
        <v>7200</v>
      </c>
      <c r="T76">
        <v>7200</v>
      </c>
      <c r="U76">
        <v>7200</v>
      </c>
      <c r="V76">
        <v>7200</v>
      </c>
      <c r="W76">
        <v>7200</v>
      </c>
      <c r="X76">
        <v>7200</v>
      </c>
      <c r="Y76">
        <v>7200</v>
      </c>
      <c r="Z76">
        <v>7200</v>
      </c>
      <c r="AA76">
        <v>7200</v>
      </c>
      <c r="AB76">
        <v>7200</v>
      </c>
      <c r="AC76">
        <v>7200</v>
      </c>
      <c r="AD76">
        <v>7200</v>
      </c>
      <c r="AE76">
        <v>7200</v>
      </c>
      <c r="AF76">
        <v>7200</v>
      </c>
      <c r="AG76">
        <v>7200</v>
      </c>
      <c r="AH76">
        <v>7200</v>
      </c>
      <c r="AI76">
        <v>7200</v>
      </c>
      <c r="AJ76">
        <v>7200</v>
      </c>
      <c r="AK76">
        <v>7200</v>
      </c>
      <c r="AL76">
        <v>7200</v>
      </c>
      <c r="AM76">
        <v>7200</v>
      </c>
      <c r="AN76">
        <v>7200</v>
      </c>
      <c r="AO76">
        <v>7200</v>
      </c>
      <c r="AP76">
        <v>7200</v>
      </c>
      <c r="AQ76">
        <v>7200</v>
      </c>
      <c r="AR76">
        <v>7200</v>
      </c>
      <c r="AS76">
        <v>7200</v>
      </c>
      <c r="AT76">
        <v>7200</v>
      </c>
      <c r="AU76">
        <v>7200</v>
      </c>
      <c r="AV76">
        <v>7200</v>
      </c>
      <c r="AW76">
        <v>7200</v>
      </c>
      <c r="AX76">
        <v>7200</v>
      </c>
      <c r="AY76">
        <v>7200</v>
      </c>
      <c r="AZ76">
        <v>7200</v>
      </c>
      <c r="BA76">
        <v>7200</v>
      </c>
      <c r="BB76">
        <v>7200</v>
      </c>
      <c r="BC76">
        <v>7200</v>
      </c>
      <c r="BD76">
        <v>7200</v>
      </c>
      <c r="BE76">
        <v>7200</v>
      </c>
      <c r="BF76">
        <v>7200</v>
      </c>
      <c r="BG76">
        <v>7200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</row>
    <row r="77" spans="1:76" x14ac:dyDescent="0.25">
      <c r="A77" s="1" t="s">
        <v>116</v>
      </c>
      <c r="B77" s="1">
        <v>3</v>
      </c>
      <c r="C77" s="1">
        <v>45</v>
      </c>
      <c r="D77" s="12">
        <v>48</v>
      </c>
      <c r="E77" s="12"/>
      <c r="F77">
        <v>0</v>
      </c>
      <c r="G77">
        <v>0</v>
      </c>
      <c r="H77">
        <v>0</v>
      </c>
      <c r="I77">
        <v>7200</v>
      </c>
      <c r="J77">
        <v>7200</v>
      </c>
      <c r="K77">
        <v>7200</v>
      </c>
      <c r="L77">
        <v>7200</v>
      </c>
      <c r="M77">
        <v>7200</v>
      </c>
      <c r="N77">
        <v>7200</v>
      </c>
      <c r="O77">
        <v>7200</v>
      </c>
      <c r="P77">
        <v>7200</v>
      </c>
      <c r="Q77">
        <v>7200</v>
      </c>
      <c r="R77">
        <v>7200</v>
      </c>
      <c r="S77">
        <v>7200</v>
      </c>
      <c r="T77">
        <v>7200</v>
      </c>
      <c r="U77">
        <v>7200</v>
      </c>
      <c r="V77">
        <v>7200</v>
      </c>
      <c r="W77">
        <v>7200</v>
      </c>
      <c r="X77">
        <v>7200</v>
      </c>
      <c r="Y77">
        <v>7200</v>
      </c>
      <c r="Z77">
        <v>7200</v>
      </c>
      <c r="AA77">
        <v>7200</v>
      </c>
      <c r="AB77">
        <v>7200</v>
      </c>
      <c r="AC77">
        <v>7200</v>
      </c>
      <c r="AD77">
        <v>7200</v>
      </c>
      <c r="AE77">
        <v>7200</v>
      </c>
      <c r="AF77">
        <v>7200</v>
      </c>
      <c r="AG77">
        <v>7200</v>
      </c>
      <c r="AH77">
        <v>7200</v>
      </c>
      <c r="AI77">
        <v>7200</v>
      </c>
      <c r="AJ77">
        <v>7200</v>
      </c>
      <c r="AK77">
        <v>7200</v>
      </c>
      <c r="AL77">
        <v>7200</v>
      </c>
      <c r="AM77">
        <v>7200</v>
      </c>
      <c r="AN77">
        <v>7200</v>
      </c>
      <c r="AO77">
        <v>7200</v>
      </c>
      <c r="AP77">
        <v>7200</v>
      </c>
      <c r="AQ77">
        <v>7200</v>
      </c>
      <c r="AR77">
        <v>7200</v>
      </c>
      <c r="AS77">
        <v>7200</v>
      </c>
      <c r="AT77">
        <v>7200</v>
      </c>
      <c r="AU77">
        <v>7200</v>
      </c>
      <c r="AV77">
        <v>7200</v>
      </c>
      <c r="AW77">
        <v>7200</v>
      </c>
      <c r="AX77">
        <v>7200</v>
      </c>
      <c r="AY77">
        <v>7200</v>
      </c>
      <c r="AZ77">
        <v>7200</v>
      </c>
      <c r="BA77">
        <v>7200</v>
      </c>
      <c r="BB77">
        <v>7200</v>
      </c>
      <c r="BC77">
        <v>7200</v>
      </c>
      <c r="BD77">
        <v>7200</v>
      </c>
      <c r="BE77">
        <v>7200</v>
      </c>
      <c r="BF77">
        <v>7200</v>
      </c>
      <c r="BG77">
        <v>7200</v>
      </c>
      <c r="BH77">
        <v>7200</v>
      </c>
      <c r="BI77">
        <v>7200</v>
      </c>
      <c r="BJ77">
        <v>7200</v>
      </c>
      <c r="BK77">
        <v>7200</v>
      </c>
      <c r="BL77">
        <v>7200</v>
      </c>
      <c r="BM77">
        <v>7200</v>
      </c>
      <c r="BN77">
        <v>7200</v>
      </c>
      <c r="BO77">
        <v>7200</v>
      </c>
      <c r="BP77">
        <v>7200</v>
      </c>
      <c r="BQ77">
        <v>7200</v>
      </c>
      <c r="BR77">
        <v>7200</v>
      </c>
      <c r="BS77">
        <v>7200</v>
      </c>
      <c r="BT77">
        <v>0</v>
      </c>
      <c r="BU77">
        <v>0</v>
      </c>
      <c r="BV77">
        <v>0</v>
      </c>
      <c r="BW77">
        <v>0</v>
      </c>
      <c r="BX77">
        <v>0</v>
      </c>
    </row>
    <row r="78" spans="1:76" x14ac:dyDescent="0.25">
      <c r="A78" s="1" t="s">
        <v>115</v>
      </c>
      <c r="B78" s="1">
        <v>1</v>
      </c>
      <c r="C78" s="1">
        <v>54</v>
      </c>
      <c r="D78" s="12">
        <v>64</v>
      </c>
      <c r="E78" s="12">
        <v>11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15000</v>
      </c>
      <c r="Q78">
        <v>15000</v>
      </c>
      <c r="R78">
        <v>15000</v>
      </c>
      <c r="S78">
        <v>15000</v>
      </c>
      <c r="T78">
        <v>15000</v>
      </c>
      <c r="U78">
        <v>15000</v>
      </c>
      <c r="V78">
        <v>15000</v>
      </c>
      <c r="W78">
        <v>15000</v>
      </c>
      <c r="X78">
        <v>15000</v>
      </c>
      <c r="Y78">
        <v>15000</v>
      </c>
      <c r="Z78">
        <v>15000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</row>
    <row r="79" spans="1:76" x14ac:dyDescent="0.25">
      <c r="A79" s="1" t="s">
        <v>114</v>
      </c>
      <c r="B79" s="1">
        <v>3</v>
      </c>
      <c r="C79" s="1">
        <v>51</v>
      </c>
      <c r="D79" s="12">
        <v>62</v>
      </c>
      <c r="E79" s="12"/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7200</v>
      </c>
      <c r="R79">
        <v>7200</v>
      </c>
      <c r="S79">
        <v>7200</v>
      </c>
      <c r="T79">
        <v>7200</v>
      </c>
      <c r="U79">
        <v>7200</v>
      </c>
      <c r="V79">
        <v>7200</v>
      </c>
      <c r="W79">
        <v>7200</v>
      </c>
      <c r="X79">
        <v>7200</v>
      </c>
      <c r="Y79">
        <v>7200</v>
      </c>
      <c r="Z79">
        <v>7200</v>
      </c>
      <c r="AA79">
        <v>7200</v>
      </c>
      <c r="AB79">
        <v>7200</v>
      </c>
      <c r="AC79">
        <v>7200</v>
      </c>
      <c r="AD79">
        <v>7200</v>
      </c>
      <c r="AE79">
        <v>7200</v>
      </c>
      <c r="AF79">
        <v>7200</v>
      </c>
      <c r="AG79">
        <v>7200</v>
      </c>
      <c r="AH79">
        <v>7200</v>
      </c>
      <c r="AI79">
        <v>7200</v>
      </c>
      <c r="AJ79">
        <v>7200</v>
      </c>
      <c r="AK79">
        <v>7200</v>
      </c>
      <c r="AL79">
        <v>7200</v>
      </c>
      <c r="AM79">
        <v>7200</v>
      </c>
      <c r="AN79">
        <v>7200</v>
      </c>
      <c r="AO79">
        <v>7200</v>
      </c>
      <c r="AP79">
        <v>7200</v>
      </c>
      <c r="AQ79">
        <v>7200</v>
      </c>
      <c r="AR79">
        <v>7200</v>
      </c>
      <c r="AS79">
        <v>7200</v>
      </c>
      <c r="AT79">
        <v>7200</v>
      </c>
      <c r="AU79">
        <v>7200</v>
      </c>
      <c r="AV79">
        <v>7200</v>
      </c>
      <c r="AW79">
        <v>7200</v>
      </c>
      <c r="AX79">
        <v>7200</v>
      </c>
      <c r="AY79">
        <v>7200</v>
      </c>
      <c r="AZ79">
        <v>7200</v>
      </c>
      <c r="BA79">
        <v>7200</v>
      </c>
      <c r="BB79">
        <v>7200</v>
      </c>
      <c r="BC79">
        <v>7200</v>
      </c>
      <c r="BD79">
        <v>7200</v>
      </c>
      <c r="BE79">
        <v>7200</v>
      </c>
      <c r="BF79">
        <v>7200</v>
      </c>
      <c r="BG79">
        <v>7200</v>
      </c>
      <c r="BH79">
        <v>7200</v>
      </c>
      <c r="BI79">
        <v>7200</v>
      </c>
      <c r="BJ79">
        <v>7200</v>
      </c>
      <c r="BK79">
        <v>7200</v>
      </c>
      <c r="BL79">
        <v>7200</v>
      </c>
      <c r="BM79">
        <v>7200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</row>
    <row r="80" spans="1:76" x14ac:dyDescent="0.25">
      <c r="A80" s="1" t="s">
        <v>113</v>
      </c>
      <c r="B80" s="1">
        <v>2</v>
      </c>
      <c r="C80" s="1">
        <v>46</v>
      </c>
      <c r="D80" s="12"/>
      <c r="E80" s="12"/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25000</v>
      </c>
      <c r="Z80">
        <v>26000</v>
      </c>
      <c r="AA80">
        <v>27000</v>
      </c>
      <c r="AB80">
        <v>28000</v>
      </c>
      <c r="AC80">
        <v>29000</v>
      </c>
      <c r="AD80">
        <v>30000</v>
      </c>
      <c r="AE80">
        <v>31000</v>
      </c>
      <c r="AF80">
        <v>32000</v>
      </c>
      <c r="AG80">
        <v>33000</v>
      </c>
      <c r="AH80">
        <v>34000</v>
      </c>
      <c r="AI80">
        <v>35000</v>
      </c>
      <c r="AJ80">
        <v>36000</v>
      </c>
      <c r="AK80">
        <v>37000</v>
      </c>
      <c r="AL80">
        <v>38000</v>
      </c>
      <c r="AM80">
        <v>39000</v>
      </c>
      <c r="AN80">
        <v>40000</v>
      </c>
      <c r="AO80">
        <v>41000</v>
      </c>
      <c r="AP80">
        <v>42000</v>
      </c>
      <c r="AQ80">
        <v>43000</v>
      </c>
      <c r="AR80">
        <v>44000</v>
      </c>
      <c r="AS80">
        <v>45000</v>
      </c>
      <c r="AT80">
        <v>46000</v>
      </c>
      <c r="AU80">
        <v>47000</v>
      </c>
      <c r="AV80">
        <v>48000</v>
      </c>
      <c r="AW80">
        <v>49000</v>
      </c>
      <c r="AX80">
        <v>50000</v>
      </c>
      <c r="AY80">
        <v>51000</v>
      </c>
      <c r="AZ80">
        <v>52000</v>
      </c>
      <c r="BA80">
        <v>53000</v>
      </c>
      <c r="BB80">
        <v>54000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</row>
    <row r="81" spans="1:76" x14ac:dyDescent="0.25">
      <c r="A81" s="1" t="s">
        <v>112</v>
      </c>
      <c r="B81" s="1">
        <v>3</v>
      </c>
      <c r="C81" s="1">
        <v>66</v>
      </c>
      <c r="D81" s="12">
        <v>66</v>
      </c>
      <c r="E81" s="12"/>
      <c r="F81">
        <v>7200</v>
      </c>
      <c r="G81">
        <v>7200</v>
      </c>
      <c r="H81">
        <v>7200</v>
      </c>
      <c r="I81">
        <v>7200</v>
      </c>
      <c r="J81">
        <v>7200</v>
      </c>
      <c r="K81">
        <v>7200</v>
      </c>
      <c r="L81">
        <v>7200</v>
      </c>
      <c r="M81">
        <v>7200</v>
      </c>
      <c r="N81">
        <v>7200</v>
      </c>
      <c r="O81">
        <v>7200</v>
      </c>
      <c r="P81">
        <v>7200</v>
      </c>
      <c r="Q81">
        <v>7200</v>
      </c>
      <c r="R81">
        <v>7200</v>
      </c>
      <c r="S81">
        <v>7200</v>
      </c>
      <c r="T81">
        <v>7200</v>
      </c>
      <c r="U81">
        <v>7200</v>
      </c>
      <c r="V81">
        <v>7200</v>
      </c>
      <c r="W81">
        <v>7200</v>
      </c>
      <c r="X81">
        <v>7200</v>
      </c>
      <c r="Y81">
        <v>7200</v>
      </c>
      <c r="Z81">
        <v>7200</v>
      </c>
      <c r="AA81">
        <v>7200</v>
      </c>
      <c r="AB81">
        <v>7200</v>
      </c>
      <c r="AC81">
        <v>7200</v>
      </c>
      <c r="AD81">
        <v>7200</v>
      </c>
      <c r="AE81">
        <v>7200</v>
      </c>
      <c r="AF81">
        <v>7200</v>
      </c>
      <c r="AG81">
        <v>7200</v>
      </c>
      <c r="AH81">
        <v>7200</v>
      </c>
      <c r="AI81">
        <v>7200</v>
      </c>
      <c r="AJ81">
        <v>7200</v>
      </c>
      <c r="AK81">
        <v>7200</v>
      </c>
      <c r="AL81">
        <v>7200</v>
      </c>
      <c r="AM81">
        <v>7200</v>
      </c>
      <c r="AN81">
        <v>7200</v>
      </c>
      <c r="AO81">
        <v>7200</v>
      </c>
      <c r="AP81">
        <v>7200</v>
      </c>
      <c r="AQ81">
        <v>7200</v>
      </c>
      <c r="AR81">
        <v>7200</v>
      </c>
      <c r="AS81">
        <v>7200</v>
      </c>
      <c r="AT81">
        <v>7200</v>
      </c>
      <c r="AU81">
        <v>7200</v>
      </c>
      <c r="AV81">
        <v>7200</v>
      </c>
      <c r="AW81">
        <v>7200</v>
      </c>
      <c r="AX81">
        <v>7200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</row>
    <row r="82" spans="1:76" x14ac:dyDescent="0.25">
      <c r="A82" s="1" t="s">
        <v>111</v>
      </c>
      <c r="B82" s="1">
        <v>7</v>
      </c>
      <c r="C82" s="1">
        <v>62</v>
      </c>
      <c r="D82" s="12">
        <v>68</v>
      </c>
      <c r="E82" s="12">
        <v>17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30000</v>
      </c>
      <c r="M82">
        <v>0</v>
      </c>
      <c r="N82">
        <v>30000</v>
      </c>
      <c r="O82">
        <v>0</v>
      </c>
      <c r="P82">
        <v>30000</v>
      </c>
      <c r="Q82">
        <v>0</v>
      </c>
      <c r="R82">
        <v>30000</v>
      </c>
      <c r="S82">
        <v>0</v>
      </c>
      <c r="T82">
        <v>30000</v>
      </c>
      <c r="U82">
        <v>0</v>
      </c>
      <c r="V82">
        <v>30000</v>
      </c>
      <c r="W82">
        <v>0</v>
      </c>
      <c r="X82">
        <v>30000</v>
      </c>
      <c r="Y82">
        <v>0</v>
      </c>
      <c r="Z82">
        <v>30000</v>
      </c>
      <c r="AA82">
        <v>0</v>
      </c>
      <c r="AB82">
        <v>30000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</row>
    <row r="83" spans="1:76" x14ac:dyDescent="0.25">
      <c r="A83" s="1" t="s">
        <v>110</v>
      </c>
      <c r="B83" s="1">
        <v>3</v>
      </c>
      <c r="C83" s="1">
        <v>57</v>
      </c>
      <c r="D83" s="12">
        <v>70</v>
      </c>
      <c r="E83" s="12"/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7200</v>
      </c>
      <c r="T83">
        <v>7200</v>
      </c>
      <c r="U83">
        <v>7200</v>
      </c>
      <c r="V83">
        <v>7200</v>
      </c>
      <c r="W83">
        <v>7200</v>
      </c>
      <c r="X83">
        <v>7200</v>
      </c>
      <c r="Y83">
        <v>7200</v>
      </c>
      <c r="Z83">
        <v>7200</v>
      </c>
      <c r="AA83">
        <v>7200</v>
      </c>
      <c r="AB83">
        <v>7200</v>
      </c>
      <c r="AC83">
        <v>7200</v>
      </c>
      <c r="AD83">
        <v>7200</v>
      </c>
      <c r="AE83">
        <v>7200</v>
      </c>
      <c r="AF83">
        <v>7200</v>
      </c>
      <c r="AG83">
        <v>7200</v>
      </c>
      <c r="AH83">
        <v>7200</v>
      </c>
      <c r="AI83">
        <v>7200</v>
      </c>
      <c r="AJ83">
        <v>7200</v>
      </c>
      <c r="AK83">
        <v>7200</v>
      </c>
      <c r="AL83">
        <v>7200</v>
      </c>
      <c r="AM83">
        <v>7200</v>
      </c>
      <c r="AN83">
        <v>7200</v>
      </c>
      <c r="AO83">
        <v>7200</v>
      </c>
      <c r="AP83">
        <v>7200</v>
      </c>
      <c r="AQ83">
        <v>7200</v>
      </c>
      <c r="AR83">
        <v>7200</v>
      </c>
      <c r="AS83">
        <v>7200</v>
      </c>
      <c r="AT83">
        <v>7200</v>
      </c>
      <c r="AU83">
        <v>7200</v>
      </c>
      <c r="AV83">
        <v>7200</v>
      </c>
      <c r="AW83">
        <v>7200</v>
      </c>
      <c r="AX83">
        <v>7200</v>
      </c>
      <c r="AY83">
        <v>7200</v>
      </c>
      <c r="AZ83">
        <v>7200</v>
      </c>
      <c r="BA83">
        <v>7200</v>
      </c>
      <c r="BB83">
        <v>7200</v>
      </c>
      <c r="BC83">
        <v>7200</v>
      </c>
      <c r="BD83">
        <v>7200</v>
      </c>
      <c r="BE83">
        <v>7200</v>
      </c>
      <c r="BF83">
        <v>7200</v>
      </c>
      <c r="BG83">
        <v>7200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</row>
    <row r="84" spans="1:76" x14ac:dyDescent="0.25">
      <c r="A84" s="1" t="s">
        <v>109</v>
      </c>
      <c r="B84" s="1">
        <v>5</v>
      </c>
      <c r="C84" s="1">
        <v>47</v>
      </c>
      <c r="D84" s="12">
        <v>47</v>
      </c>
      <c r="E84" s="12">
        <v>7</v>
      </c>
      <c r="F84">
        <v>19000</v>
      </c>
      <c r="G84">
        <v>19000</v>
      </c>
      <c r="H84">
        <v>19000</v>
      </c>
      <c r="I84">
        <v>19000</v>
      </c>
      <c r="J84">
        <v>25000</v>
      </c>
      <c r="K84">
        <v>25000</v>
      </c>
      <c r="L84">
        <v>25000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</row>
    <row r="85" spans="1:76" x14ac:dyDescent="0.25">
      <c r="A85" s="1" t="s">
        <v>108</v>
      </c>
      <c r="B85" s="1">
        <v>2</v>
      </c>
      <c r="C85" s="1">
        <v>54</v>
      </c>
      <c r="D85" s="12"/>
      <c r="E85" s="12"/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25000</v>
      </c>
      <c r="R85">
        <v>26000</v>
      </c>
      <c r="S85">
        <v>27000</v>
      </c>
      <c r="T85">
        <v>28000</v>
      </c>
      <c r="U85">
        <v>29000</v>
      </c>
      <c r="V85">
        <v>30000</v>
      </c>
      <c r="W85">
        <v>31000</v>
      </c>
      <c r="X85">
        <v>32000</v>
      </c>
      <c r="Y85">
        <v>33000</v>
      </c>
      <c r="Z85">
        <v>34000</v>
      </c>
      <c r="AA85">
        <v>35000</v>
      </c>
      <c r="AB85">
        <v>36000</v>
      </c>
      <c r="AC85">
        <v>37000</v>
      </c>
      <c r="AD85">
        <v>38000</v>
      </c>
      <c r="AE85">
        <v>39000</v>
      </c>
      <c r="AF85">
        <v>40000</v>
      </c>
      <c r="AG85">
        <v>41000</v>
      </c>
      <c r="AH85">
        <v>42000</v>
      </c>
      <c r="AI85">
        <v>43000</v>
      </c>
      <c r="AJ85">
        <v>44000</v>
      </c>
      <c r="AK85">
        <v>45000</v>
      </c>
      <c r="AL85">
        <v>46000</v>
      </c>
      <c r="AM85">
        <v>47000</v>
      </c>
      <c r="AN85">
        <v>48000</v>
      </c>
      <c r="AO85">
        <v>49000</v>
      </c>
      <c r="AP85">
        <v>50000</v>
      </c>
      <c r="AQ85">
        <v>51000</v>
      </c>
      <c r="AR85">
        <v>52000</v>
      </c>
      <c r="AS85">
        <v>53000</v>
      </c>
      <c r="AT85">
        <v>54000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</row>
    <row r="86" spans="1:76" x14ac:dyDescent="0.25">
      <c r="A86" s="1" t="s">
        <v>107</v>
      </c>
      <c r="B86" s="1">
        <v>1</v>
      </c>
      <c r="C86" s="1">
        <v>42</v>
      </c>
      <c r="D86" s="12">
        <v>51</v>
      </c>
      <c r="E86" s="12">
        <v>10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15000</v>
      </c>
      <c r="P86">
        <v>15000</v>
      </c>
      <c r="Q86">
        <v>15000</v>
      </c>
      <c r="R86">
        <v>15000</v>
      </c>
      <c r="S86">
        <v>15000</v>
      </c>
      <c r="T86">
        <v>15000</v>
      </c>
      <c r="U86">
        <v>15000</v>
      </c>
      <c r="V86">
        <v>15000</v>
      </c>
      <c r="W86">
        <v>15000</v>
      </c>
      <c r="X86">
        <v>15000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</row>
    <row r="87" spans="1:76" x14ac:dyDescent="0.25">
      <c r="A87" s="1" t="s">
        <v>106</v>
      </c>
      <c r="B87" s="1">
        <v>7</v>
      </c>
      <c r="C87" s="1">
        <v>45</v>
      </c>
      <c r="D87" s="12">
        <v>48</v>
      </c>
      <c r="E87" s="12">
        <v>9</v>
      </c>
      <c r="F87">
        <v>0</v>
      </c>
      <c r="G87">
        <v>0</v>
      </c>
      <c r="H87">
        <v>0</v>
      </c>
      <c r="I87">
        <v>30000</v>
      </c>
      <c r="J87">
        <v>0</v>
      </c>
      <c r="K87">
        <v>30000</v>
      </c>
      <c r="L87">
        <v>0</v>
      </c>
      <c r="M87">
        <v>30000</v>
      </c>
      <c r="N87">
        <v>0</v>
      </c>
      <c r="O87">
        <v>30000</v>
      </c>
      <c r="P87">
        <v>0</v>
      </c>
      <c r="Q87">
        <v>30000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</row>
    <row r="88" spans="1:76" x14ac:dyDescent="0.25">
      <c r="A88" s="1" t="s">
        <v>105</v>
      </c>
      <c r="B88" s="1">
        <v>7</v>
      </c>
      <c r="C88" s="1">
        <v>60</v>
      </c>
      <c r="D88" s="12">
        <v>61</v>
      </c>
      <c r="E88" s="12">
        <v>13</v>
      </c>
      <c r="F88">
        <v>0</v>
      </c>
      <c r="G88">
        <v>30000</v>
      </c>
      <c r="H88">
        <v>0</v>
      </c>
      <c r="I88">
        <v>30000</v>
      </c>
      <c r="J88">
        <v>0</v>
      </c>
      <c r="K88">
        <v>30000</v>
      </c>
      <c r="L88">
        <v>0</v>
      </c>
      <c r="M88">
        <v>30000</v>
      </c>
      <c r="N88">
        <v>0</v>
      </c>
      <c r="O88">
        <v>30000</v>
      </c>
      <c r="P88">
        <v>0</v>
      </c>
      <c r="Q88">
        <v>30000</v>
      </c>
      <c r="R88">
        <v>0</v>
      </c>
      <c r="S88">
        <v>30000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</row>
    <row r="89" spans="1:76" x14ac:dyDescent="0.25">
      <c r="A89" s="1" t="s">
        <v>104</v>
      </c>
      <c r="B89" s="1">
        <v>1</v>
      </c>
      <c r="C89" s="1">
        <v>63</v>
      </c>
      <c r="D89" s="12">
        <v>73</v>
      </c>
      <c r="E89" s="12">
        <v>6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15000</v>
      </c>
      <c r="Q89">
        <v>15000</v>
      </c>
      <c r="R89">
        <v>15000</v>
      </c>
      <c r="S89">
        <v>15000</v>
      </c>
      <c r="T89">
        <v>15000</v>
      </c>
      <c r="U89">
        <v>15000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</row>
    <row r="90" spans="1:76" x14ac:dyDescent="0.25">
      <c r="A90" s="1" t="s">
        <v>103</v>
      </c>
      <c r="B90" s="1">
        <v>2</v>
      </c>
      <c r="C90" s="1">
        <v>70</v>
      </c>
      <c r="D90" s="12"/>
      <c r="E90" s="12"/>
      <c r="F90">
        <v>25000</v>
      </c>
      <c r="G90">
        <v>26000</v>
      </c>
      <c r="H90">
        <v>27000</v>
      </c>
      <c r="I90">
        <v>28000</v>
      </c>
      <c r="J90">
        <v>29000</v>
      </c>
      <c r="K90">
        <v>30000</v>
      </c>
      <c r="L90">
        <v>31000</v>
      </c>
      <c r="M90">
        <v>32000</v>
      </c>
      <c r="N90">
        <v>33000</v>
      </c>
      <c r="O90">
        <v>34000</v>
      </c>
      <c r="P90">
        <v>35000</v>
      </c>
      <c r="Q90">
        <v>36000</v>
      </c>
      <c r="R90">
        <v>37000</v>
      </c>
      <c r="S90">
        <v>38000</v>
      </c>
      <c r="T90">
        <v>39000</v>
      </c>
      <c r="U90">
        <v>40000</v>
      </c>
      <c r="V90">
        <v>41000</v>
      </c>
      <c r="W90">
        <v>42000</v>
      </c>
      <c r="X90">
        <v>43000</v>
      </c>
      <c r="Y90">
        <v>44000</v>
      </c>
      <c r="Z90">
        <v>45000</v>
      </c>
      <c r="AA90">
        <v>46000</v>
      </c>
      <c r="AB90">
        <v>47000</v>
      </c>
      <c r="AC90">
        <v>48000</v>
      </c>
      <c r="AD90">
        <v>49000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</row>
    <row r="91" spans="1:76" x14ac:dyDescent="0.25">
      <c r="A91" s="1" t="s">
        <v>102</v>
      </c>
      <c r="B91" s="1">
        <v>2</v>
      </c>
      <c r="C91" s="1">
        <v>69</v>
      </c>
      <c r="D91" s="12"/>
      <c r="E91" s="12"/>
      <c r="F91">
        <v>25000</v>
      </c>
      <c r="G91">
        <v>26000</v>
      </c>
      <c r="H91">
        <v>27000</v>
      </c>
      <c r="I91">
        <v>28000</v>
      </c>
      <c r="J91">
        <v>29000</v>
      </c>
      <c r="K91">
        <v>30000</v>
      </c>
      <c r="L91">
        <v>31000</v>
      </c>
      <c r="M91">
        <v>32000</v>
      </c>
      <c r="N91">
        <v>33000</v>
      </c>
      <c r="O91">
        <v>34000</v>
      </c>
      <c r="P91">
        <v>35000</v>
      </c>
      <c r="Q91">
        <v>36000</v>
      </c>
      <c r="R91">
        <v>37000</v>
      </c>
      <c r="S91">
        <v>38000</v>
      </c>
      <c r="T91">
        <v>39000</v>
      </c>
      <c r="U91">
        <v>40000</v>
      </c>
      <c r="V91">
        <v>41000</v>
      </c>
      <c r="W91">
        <v>42000</v>
      </c>
      <c r="X91">
        <v>43000</v>
      </c>
      <c r="Y91">
        <v>44000</v>
      </c>
      <c r="Z91">
        <v>45000</v>
      </c>
      <c r="AA91">
        <v>46000</v>
      </c>
      <c r="AB91">
        <v>47000</v>
      </c>
      <c r="AC91">
        <v>48000</v>
      </c>
      <c r="AD91">
        <v>49000</v>
      </c>
      <c r="AE91">
        <v>50000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</row>
    <row r="92" spans="1:76" x14ac:dyDescent="0.25">
      <c r="A92" s="1" t="s">
        <v>101</v>
      </c>
      <c r="B92" s="1">
        <v>3</v>
      </c>
      <c r="C92" s="1">
        <v>63</v>
      </c>
      <c r="D92" s="12">
        <v>66</v>
      </c>
      <c r="E92" s="12"/>
      <c r="F92">
        <v>0</v>
      </c>
      <c r="G92">
        <v>0</v>
      </c>
      <c r="H92">
        <v>0</v>
      </c>
      <c r="I92">
        <v>7200</v>
      </c>
      <c r="J92">
        <v>7200</v>
      </c>
      <c r="K92">
        <v>7200</v>
      </c>
      <c r="L92">
        <v>7200</v>
      </c>
      <c r="M92">
        <v>7200</v>
      </c>
      <c r="N92">
        <v>7200</v>
      </c>
      <c r="O92">
        <v>7200</v>
      </c>
      <c r="P92">
        <v>7200</v>
      </c>
      <c r="Q92">
        <v>7200</v>
      </c>
      <c r="R92">
        <v>7200</v>
      </c>
      <c r="S92">
        <v>7200</v>
      </c>
      <c r="T92">
        <v>7200</v>
      </c>
      <c r="U92">
        <v>7200</v>
      </c>
      <c r="V92">
        <v>7200</v>
      </c>
      <c r="W92">
        <v>7200</v>
      </c>
      <c r="X92">
        <v>7200</v>
      </c>
      <c r="Y92">
        <v>7200</v>
      </c>
      <c r="Z92">
        <v>7200</v>
      </c>
      <c r="AA92">
        <v>7200</v>
      </c>
      <c r="AB92">
        <v>7200</v>
      </c>
      <c r="AC92">
        <v>7200</v>
      </c>
      <c r="AD92">
        <v>7200</v>
      </c>
      <c r="AE92">
        <v>7200</v>
      </c>
      <c r="AF92">
        <v>7200</v>
      </c>
      <c r="AG92">
        <v>7200</v>
      </c>
      <c r="AH92">
        <v>7200</v>
      </c>
      <c r="AI92">
        <v>7200</v>
      </c>
      <c r="AJ92">
        <v>7200</v>
      </c>
      <c r="AK92">
        <v>7200</v>
      </c>
      <c r="AL92">
        <v>7200</v>
      </c>
      <c r="AM92">
        <v>7200</v>
      </c>
      <c r="AN92">
        <v>7200</v>
      </c>
      <c r="AO92">
        <v>7200</v>
      </c>
      <c r="AP92">
        <v>7200</v>
      </c>
      <c r="AQ92">
        <v>7200</v>
      </c>
      <c r="AR92">
        <v>7200</v>
      </c>
      <c r="AS92">
        <v>7200</v>
      </c>
      <c r="AT92">
        <v>7200</v>
      </c>
      <c r="AU92">
        <v>7200</v>
      </c>
      <c r="AV92">
        <v>7200</v>
      </c>
      <c r="AW92">
        <v>7200</v>
      </c>
      <c r="AX92">
        <v>7200</v>
      </c>
      <c r="AY92">
        <v>7200</v>
      </c>
      <c r="AZ92">
        <v>7200</v>
      </c>
      <c r="BA92">
        <v>7200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</row>
    <row r="93" spans="1:76" x14ac:dyDescent="0.25">
      <c r="A93" s="1" t="s">
        <v>100</v>
      </c>
      <c r="B93" s="1">
        <v>3</v>
      </c>
      <c r="C93" s="1">
        <v>68</v>
      </c>
      <c r="D93" s="12">
        <v>80</v>
      </c>
      <c r="E93" s="12"/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7200</v>
      </c>
      <c r="S93">
        <v>7200</v>
      </c>
      <c r="T93">
        <v>7200</v>
      </c>
      <c r="U93">
        <v>7200</v>
      </c>
      <c r="V93">
        <v>7200</v>
      </c>
      <c r="W93">
        <v>7200</v>
      </c>
      <c r="X93">
        <v>7200</v>
      </c>
      <c r="Y93">
        <v>7200</v>
      </c>
      <c r="Z93">
        <v>7200</v>
      </c>
      <c r="AA93">
        <v>7200</v>
      </c>
      <c r="AB93">
        <v>7200</v>
      </c>
      <c r="AC93">
        <v>7200</v>
      </c>
      <c r="AD93">
        <v>7200</v>
      </c>
      <c r="AE93">
        <v>7200</v>
      </c>
      <c r="AF93">
        <v>7200</v>
      </c>
      <c r="AG93">
        <v>7200</v>
      </c>
      <c r="AH93">
        <v>7200</v>
      </c>
      <c r="AI93">
        <v>7200</v>
      </c>
      <c r="AJ93">
        <v>7200</v>
      </c>
      <c r="AK93">
        <v>7200</v>
      </c>
      <c r="AL93">
        <v>7200</v>
      </c>
      <c r="AM93">
        <v>7200</v>
      </c>
      <c r="AN93">
        <v>7200</v>
      </c>
      <c r="AO93">
        <v>7200</v>
      </c>
      <c r="AP93">
        <v>7200</v>
      </c>
      <c r="AQ93">
        <v>7200</v>
      </c>
      <c r="AR93">
        <v>7200</v>
      </c>
      <c r="AS93">
        <v>7200</v>
      </c>
      <c r="AT93">
        <v>7200</v>
      </c>
      <c r="AU93">
        <v>7200</v>
      </c>
      <c r="AV93">
        <v>7200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</row>
    <row r="94" spans="1:76" x14ac:dyDescent="0.25">
      <c r="A94" s="1" t="s">
        <v>99</v>
      </c>
      <c r="B94" s="1">
        <v>7</v>
      </c>
      <c r="C94" s="1">
        <v>63</v>
      </c>
      <c r="D94" s="12">
        <v>69</v>
      </c>
      <c r="E94" s="12">
        <v>17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30000</v>
      </c>
      <c r="M94">
        <v>0</v>
      </c>
      <c r="N94">
        <v>30000</v>
      </c>
      <c r="O94">
        <v>0</v>
      </c>
      <c r="P94">
        <v>30000</v>
      </c>
      <c r="Q94">
        <v>0</v>
      </c>
      <c r="R94">
        <v>30000</v>
      </c>
      <c r="S94">
        <v>0</v>
      </c>
      <c r="T94">
        <v>30000</v>
      </c>
      <c r="U94">
        <v>0</v>
      </c>
      <c r="V94">
        <v>30000</v>
      </c>
      <c r="W94">
        <v>0</v>
      </c>
      <c r="X94">
        <v>30000</v>
      </c>
      <c r="Y94">
        <v>0</v>
      </c>
      <c r="Z94">
        <v>30000</v>
      </c>
      <c r="AA94">
        <v>0</v>
      </c>
      <c r="AB94">
        <v>30000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</row>
    <row r="95" spans="1:76" x14ac:dyDescent="0.25">
      <c r="A95" s="1" t="s">
        <v>98</v>
      </c>
      <c r="B95" s="1">
        <v>3</v>
      </c>
      <c r="C95" s="1">
        <v>45</v>
      </c>
      <c r="D95" s="12">
        <v>59</v>
      </c>
      <c r="E95" s="12"/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7200</v>
      </c>
      <c r="U95">
        <v>7200</v>
      </c>
      <c r="V95">
        <v>7200</v>
      </c>
      <c r="W95">
        <v>7200</v>
      </c>
      <c r="X95">
        <v>7200</v>
      </c>
      <c r="Y95">
        <v>7200</v>
      </c>
      <c r="Z95">
        <v>7200</v>
      </c>
      <c r="AA95">
        <v>7200</v>
      </c>
      <c r="AB95">
        <v>7200</v>
      </c>
      <c r="AC95">
        <v>7200</v>
      </c>
      <c r="AD95">
        <v>7200</v>
      </c>
      <c r="AE95">
        <v>7200</v>
      </c>
      <c r="AF95">
        <v>7200</v>
      </c>
      <c r="AG95">
        <v>7200</v>
      </c>
      <c r="AH95">
        <v>7200</v>
      </c>
      <c r="AI95">
        <v>7200</v>
      </c>
      <c r="AJ95">
        <v>7200</v>
      </c>
      <c r="AK95">
        <v>7200</v>
      </c>
      <c r="AL95">
        <v>7200</v>
      </c>
      <c r="AM95">
        <v>7200</v>
      </c>
      <c r="AN95">
        <v>7200</v>
      </c>
      <c r="AO95">
        <v>7200</v>
      </c>
      <c r="AP95">
        <v>7200</v>
      </c>
      <c r="AQ95">
        <v>7200</v>
      </c>
      <c r="AR95">
        <v>7200</v>
      </c>
      <c r="AS95">
        <v>7200</v>
      </c>
      <c r="AT95">
        <v>7200</v>
      </c>
      <c r="AU95">
        <v>7200</v>
      </c>
      <c r="AV95">
        <v>7200</v>
      </c>
      <c r="AW95">
        <v>7200</v>
      </c>
      <c r="AX95">
        <v>7200</v>
      </c>
      <c r="AY95">
        <v>7200</v>
      </c>
      <c r="AZ95">
        <v>7200</v>
      </c>
      <c r="BA95">
        <v>7200</v>
      </c>
      <c r="BB95">
        <v>7200</v>
      </c>
      <c r="BC95">
        <v>7200</v>
      </c>
      <c r="BD95">
        <v>7200</v>
      </c>
      <c r="BE95">
        <v>7200</v>
      </c>
      <c r="BF95">
        <v>7200</v>
      </c>
      <c r="BG95">
        <v>7200</v>
      </c>
      <c r="BH95">
        <v>7200</v>
      </c>
      <c r="BI95">
        <v>7200</v>
      </c>
      <c r="BJ95">
        <v>7200</v>
      </c>
      <c r="BK95">
        <v>7200</v>
      </c>
      <c r="BL95">
        <v>7200</v>
      </c>
      <c r="BM95">
        <v>7200</v>
      </c>
      <c r="BN95">
        <v>7200</v>
      </c>
      <c r="BO95">
        <v>7200</v>
      </c>
      <c r="BP95">
        <v>7200</v>
      </c>
      <c r="BQ95">
        <v>7200</v>
      </c>
      <c r="BR95">
        <v>7200</v>
      </c>
      <c r="BS95">
        <v>7200</v>
      </c>
      <c r="BT95">
        <v>0</v>
      </c>
      <c r="BU95">
        <v>0</v>
      </c>
      <c r="BV95">
        <v>0</v>
      </c>
      <c r="BW95">
        <v>0</v>
      </c>
      <c r="BX95">
        <v>0</v>
      </c>
    </row>
    <row r="96" spans="1:76" x14ac:dyDescent="0.25">
      <c r="A96" s="1" t="s">
        <v>97</v>
      </c>
      <c r="B96" s="1">
        <v>3</v>
      </c>
      <c r="C96" s="1">
        <v>55</v>
      </c>
      <c r="D96" s="12">
        <v>65</v>
      </c>
      <c r="E96" s="12"/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7200</v>
      </c>
      <c r="Q96">
        <v>7200</v>
      </c>
      <c r="R96">
        <v>7200</v>
      </c>
      <c r="S96">
        <v>7200</v>
      </c>
      <c r="T96">
        <v>7200</v>
      </c>
      <c r="U96">
        <v>7200</v>
      </c>
      <c r="V96">
        <v>7200</v>
      </c>
      <c r="W96">
        <v>7200</v>
      </c>
      <c r="X96">
        <v>7200</v>
      </c>
      <c r="Y96">
        <v>7200</v>
      </c>
      <c r="Z96">
        <v>7200</v>
      </c>
      <c r="AA96">
        <v>7200</v>
      </c>
      <c r="AB96">
        <v>7200</v>
      </c>
      <c r="AC96">
        <v>7200</v>
      </c>
      <c r="AD96">
        <v>7200</v>
      </c>
      <c r="AE96">
        <v>7200</v>
      </c>
      <c r="AF96">
        <v>7200</v>
      </c>
      <c r="AG96">
        <v>7200</v>
      </c>
      <c r="AH96">
        <v>7200</v>
      </c>
      <c r="AI96">
        <v>7200</v>
      </c>
      <c r="AJ96">
        <v>7200</v>
      </c>
      <c r="AK96">
        <v>7200</v>
      </c>
      <c r="AL96">
        <v>7200</v>
      </c>
      <c r="AM96">
        <v>7200</v>
      </c>
      <c r="AN96">
        <v>7200</v>
      </c>
      <c r="AO96">
        <v>7200</v>
      </c>
      <c r="AP96">
        <v>7200</v>
      </c>
      <c r="AQ96">
        <v>7200</v>
      </c>
      <c r="AR96">
        <v>7200</v>
      </c>
      <c r="AS96">
        <v>7200</v>
      </c>
      <c r="AT96">
        <v>7200</v>
      </c>
      <c r="AU96">
        <v>7200</v>
      </c>
      <c r="AV96">
        <v>7200</v>
      </c>
      <c r="AW96">
        <v>7200</v>
      </c>
      <c r="AX96">
        <v>7200</v>
      </c>
      <c r="AY96">
        <v>7200</v>
      </c>
      <c r="AZ96">
        <v>7200</v>
      </c>
      <c r="BA96">
        <v>7200</v>
      </c>
      <c r="BB96">
        <v>7200</v>
      </c>
      <c r="BC96">
        <v>7200</v>
      </c>
      <c r="BD96">
        <v>7200</v>
      </c>
      <c r="BE96">
        <v>7200</v>
      </c>
      <c r="BF96">
        <v>7200</v>
      </c>
      <c r="BG96">
        <v>7200</v>
      </c>
      <c r="BH96">
        <v>7200</v>
      </c>
      <c r="BI96">
        <v>7200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</row>
    <row r="97" spans="1:76" x14ac:dyDescent="0.25">
      <c r="A97" s="1" t="s">
        <v>96</v>
      </c>
      <c r="B97" s="1">
        <v>3</v>
      </c>
      <c r="C97" s="1">
        <v>68</v>
      </c>
      <c r="D97" s="12">
        <v>69</v>
      </c>
      <c r="E97" s="12"/>
      <c r="F97">
        <v>0</v>
      </c>
      <c r="G97">
        <v>7200</v>
      </c>
      <c r="H97">
        <v>7200</v>
      </c>
      <c r="I97">
        <v>7200</v>
      </c>
      <c r="J97">
        <v>7200</v>
      </c>
      <c r="K97">
        <v>7200</v>
      </c>
      <c r="L97">
        <v>7200</v>
      </c>
      <c r="M97">
        <v>7200</v>
      </c>
      <c r="N97">
        <v>7200</v>
      </c>
      <c r="O97">
        <v>7200</v>
      </c>
      <c r="P97">
        <v>7200</v>
      </c>
      <c r="Q97">
        <v>7200</v>
      </c>
      <c r="R97">
        <v>7200</v>
      </c>
      <c r="S97">
        <v>7200</v>
      </c>
      <c r="T97">
        <v>7200</v>
      </c>
      <c r="U97">
        <v>7200</v>
      </c>
      <c r="V97">
        <v>7200</v>
      </c>
      <c r="W97">
        <v>7200</v>
      </c>
      <c r="X97">
        <v>7200</v>
      </c>
      <c r="Y97">
        <v>7200</v>
      </c>
      <c r="Z97">
        <v>7200</v>
      </c>
      <c r="AA97">
        <v>7200</v>
      </c>
      <c r="AB97">
        <v>7200</v>
      </c>
      <c r="AC97">
        <v>7200</v>
      </c>
      <c r="AD97">
        <v>7200</v>
      </c>
      <c r="AE97">
        <v>7200</v>
      </c>
      <c r="AF97">
        <v>7200</v>
      </c>
      <c r="AG97">
        <v>7200</v>
      </c>
      <c r="AH97">
        <v>7200</v>
      </c>
      <c r="AI97">
        <v>7200</v>
      </c>
      <c r="AJ97">
        <v>7200</v>
      </c>
      <c r="AK97">
        <v>7200</v>
      </c>
      <c r="AL97">
        <v>7200</v>
      </c>
      <c r="AM97">
        <v>7200</v>
      </c>
      <c r="AN97">
        <v>7200</v>
      </c>
      <c r="AO97">
        <v>7200</v>
      </c>
      <c r="AP97">
        <v>7200</v>
      </c>
      <c r="AQ97">
        <v>7200</v>
      </c>
      <c r="AR97">
        <v>7200</v>
      </c>
      <c r="AS97">
        <v>7200</v>
      </c>
      <c r="AT97">
        <v>7200</v>
      </c>
      <c r="AU97">
        <v>7200</v>
      </c>
      <c r="AV97">
        <v>7200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</row>
    <row r="98" spans="1:76" x14ac:dyDescent="0.25">
      <c r="A98" s="1" t="s">
        <v>95</v>
      </c>
      <c r="B98" s="1">
        <v>1</v>
      </c>
      <c r="C98" s="1">
        <v>65</v>
      </c>
      <c r="D98" s="12">
        <v>80</v>
      </c>
      <c r="E98" s="12">
        <v>12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15000</v>
      </c>
      <c r="V98">
        <v>15000</v>
      </c>
      <c r="W98">
        <v>15000</v>
      </c>
      <c r="X98">
        <v>15000</v>
      </c>
      <c r="Y98">
        <v>15000</v>
      </c>
      <c r="Z98">
        <v>15000</v>
      </c>
      <c r="AA98">
        <v>15000</v>
      </c>
      <c r="AB98">
        <v>15000</v>
      </c>
      <c r="AC98">
        <v>15000</v>
      </c>
      <c r="AD98">
        <v>15000</v>
      </c>
      <c r="AE98">
        <v>15000</v>
      </c>
      <c r="AF98">
        <v>15000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</row>
    <row r="99" spans="1:76" x14ac:dyDescent="0.25">
      <c r="A99" s="1" t="s">
        <v>94</v>
      </c>
      <c r="B99" s="1">
        <v>3</v>
      </c>
      <c r="C99" s="1">
        <v>58</v>
      </c>
      <c r="D99" s="12">
        <v>60</v>
      </c>
      <c r="E99" s="12"/>
      <c r="F99">
        <v>0</v>
      </c>
      <c r="G99">
        <v>0</v>
      </c>
      <c r="H99">
        <v>7200</v>
      </c>
      <c r="I99">
        <v>7200</v>
      </c>
      <c r="J99">
        <v>7200</v>
      </c>
      <c r="K99">
        <v>7200</v>
      </c>
      <c r="L99">
        <v>7200</v>
      </c>
      <c r="M99">
        <v>7200</v>
      </c>
      <c r="N99">
        <v>7200</v>
      </c>
      <c r="O99">
        <v>7200</v>
      </c>
      <c r="P99">
        <v>7200</v>
      </c>
      <c r="Q99">
        <v>7200</v>
      </c>
      <c r="R99">
        <v>7200</v>
      </c>
      <c r="S99">
        <v>7200</v>
      </c>
      <c r="T99">
        <v>7200</v>
      </c>
      <c r="U99">
        <v>7200</v>
      </c>
      <c r="V99">
        <v>7200</v>
      </c>
      <c r="W99">
        <v>7200</v>
      </c>
      <c r="X99">
        <v>7200</v>
      </c>
      <c r="Y99">
        <v>7200</v>
      </c>
      <c r="Z99">
        <v>7200</v>
      </c>
      <c r="AA99">
        <v>7200</v>
      </c>
      <c r="AB99">
        <v>7200</v>
      </c>
      <c r="AC99">
        <v>7200</v>
      </c>
      <c r="AD99">
        <v>7200</v>
      </c>
      <c r="AE99">
        <v>7200</v>
      </c>
      <c r="AF99">
        <v>7200</v>
      </c>
      <c r="AG99">
        <v>7200</v>
      </c>
      <c r="AH99">
        <v>7200</v>
      </c>
      <c r="AI99">
        <v>7200</v>
      </c>
      <c r="AJ99">
        <v>7200</v>
      </c>
      <c r="AK99">
        <v>7200</v>
      </c>
      <c r="AL99">
        <v>7200</v>
      </c>
      <c r="AM99">
        <v>7200</v>
      </c>
      <c r="AN99">
        <v>7200</v>
      </c>
      <c r="AO99">
        <v>7200</v>
      </c>
      <c r="AP99">
        <v>7200</v>
      </c>
      <c r="AQ99">
        <v>7200</v>
      </c>
      <c r="AR99">
        <v>7200</v>
      </c>
      <c r="AS99">
        <v>7200</v>
      </c>
      <c r="AT99">
        <v>7200</v>
      </c>
      <c r="AU99">
        <v>7200</v>
      </c>
      <c r="AV99">
        <v>7200</v>
      </c>
      <c r="AW99">
        <v>7200</v>
      </c>
      <c r="AX99">
        <v>7200</v>
      </c>
      <c r="AY99">
        <v>7200</v>
      </c>
      <c r="AZ99">
        <v>7200</v>
      </c>
      <c r="BA99">
        <v>7200</v>
      </c>
      <c r="BB99">
        <v>7200</v>
      </c>
      <c r="BC99">
        <v>7200</v>
      </c>
      <c r="BD99">
        <v>7200</v>
      </c>
      <c r="BE99">
        <v>7200</v>
      </c>
      <c r="BF99">
        <v>7200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</row>
    <row r="100" spans="1:76" x14ac:dyDescent="0.25">
      <c r="A100" s="1" t="s">
        <v>93</v>
      </c>
      <c r="B100" s="1">
        <v>3</v>
      </c>
      <c r="C100" s="1">
        <v>41</v>
      </c>
      <c r="D100" s="12">
        <v>51</v>
      </c>
      <c r="E100" s="12"/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7200</v>
      </c>
      <c r="Q100">
        <v>7200</v>
      </c>
      <c r="R100">
        <v>7200</v>
      </c>
      <c r="S100">
        <v>7200</v>
      </c>
      <c r="T100">
        <v>7200</v>
      </c>
      <c r="U100">
        <v>7200</v>
      </c>
      <c r="V100">
        <v>7200</v>
      </c>
      <c r="W100">
        <v>7200</v>
      </c>
      <c r="X100">
        <v>7200</v>
      </c>
      <c r="Y100">
        <v>7200</v>
      </c>
      <c r="Z100">
        <v>7200</v>
      </c>
      <c r="AA100">
        <v>7200</v>
      </c>
      <c r="AB100">
        <v>7200</v>
      </c>
      <c r="AC100">
        <v>7200</v>
      </c>
      <c r="AD100">
        <v>7200</v>
      </c>
      <c r="AE100">
        <v>7200</v>
      </c>
      <c r="AF100">
        <v>7200</v>
      </c>
      <c r="AG100">
        <v>7200</v>
      </c>
      <c r="AH100">
        <v>7200</v>
      </c>
      <c r="AI100">
        <v>7200</v>
      </c>
      <c r="AJ100">
        <v>7200</v>
      </c>
      <c r="AK100">
        <v>7200</v>
      </c>
      <c r="AL100">
        <v>7200</v>
      </c>
      <c r="AM100">
        <v>7200</v>
      </c>
      <c r="AN100">
        <v>7200</v>
      </c>
      <c r="AO100">
        <v>7200</v>
      </c>
      <c r="AP100">
        <v>7200</v>
      </c>
      <c r="AQ100">
        <v>7200</v>
      </c>
      <c r="AR100">
        <v>7200</v>
      </c>
      <c r="AS100">
        <v>7200</v>
      </c>
      <c r="AT100">
        <v>7200</v>
      </c>
      <c r="AU100">
        <v>7200</v>
      </c>
      <c r="AV100">
        <v>7200</v>
      </c>
      <c r="AW100">
        <v>7200</v>
      </c>
      <c r="AX100">
        <v>7200</v>
      </c>
      <c r="AY100">
        <v>7200</v>
      </c>
      <c r="AZ100">
        <v>7200</v>
      </c>
      <c r="BA100">
        <v>7200</v>
      </c>
      <c r="BB100">
        <v>7200</v>
      </c>
      <c r="BC100">
        <v>7200</v>
      </c>
      <c r="BD100">
        <v>7200</v>
      </c>
      <c r="BE100">
        <v>7200</v>
      </c>
      <c r="BF100">
        <v>7200</v>
      </c>
      <c r="BG100">
        <v>7200</v>
      </c>
      <c r="BH100">
        <v>7200</v>
      </c>
      <c r="BI100">
        <v>7200</v>
      </c>
      <c r="BJ100">
        <v>7200</v>
      </c>
      <c r="BK100">
        <v>7200</v>
      </c>
      <c r="BL100">
        <v>7200</v>
      </c>
      <c r="BM100">
        <v>7200</v>
      </c>
      <c r="BN100">
        <v>7200</v>
      </c>
      <c r="BO100">
        <v>7200</v>
      </c>
      <c r="BP100">
        <v>7200</v>
      </c>
      <c r="BQ100">
        <v>7200</v>
      </c>
      <c r="BR100">
        <v>7200</v>
      </c>
      <c r="BS100">
        <v>7200</v>
      </c>
      <c r="BT100">
        <v>7200</v>
      </c>
      <c r="BU100">
        <v>7200</v>
      </c>
      <c r="BV100">
        <v>7200</v>
      </c>
      <c r="BW100">
        <v>7200</v>
      </c>
      <c r="BX100">
        <v>0</v>
      </c>
    </row>
    <row r="101" spans="1:76" x14ac:dyDescent="0.25">
      <c r="A101" s="1" t="s">
        <v>92</v>
      </c>
      <c r="B101" s="1">
        <v>3</v>
      </c>
      <c r="C101" s="1">
        <v>61</v>
      </c>
      <c r="D101" s="12">
        <v>70</v>
      </c>
      <c r="E101" s="12"/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7200</v>
      </c>
      <c r="P101">
        <v>7200</v>
      </c>
      <c r="Q101">
        <v>7200</v>
      </c>
      <c r="R101">
        <v>7200</v>
      </c>
      <c r="S101">
        <v>7200</v>
      </c>
      <c r="T101">
        <v>7200</v>
      </c>
      <c r="U101">
        <v>7200</v>
      </c>
      <c r="V101">
        <v>7200</v>
      </c>
      <c r="W101">
        <v>7200</v>
      </c>
      <c r="X101">
        <v>7200</v>
      </c>
      <c r="Y101">
        <v>7200</v>
      </c>
      <c r="Z101">
        <v>7200</v>
      </c>
      <c r="AA101">
        <v>7200</v>
      </c>
      <c r="AB101">
        <v>7200</v>
      </c>
      <c r="AC101">
        <v>7200</v>
      </c>
      <c r="AD101">
        <v>7200</v>
      </c>
      <c r="AE101">
        <v>7200</v>
      </c>
      <c r="AF101">
        <v>7200</v>
      </c>
      <c r="AG101">
        <v>7200</v>
      </c>
      <c r="AH101">
        <v>7200</v>
      </c>
      <c r="AI101">
        <v>7200</v>
      </c>
      <c r="AJ101">
        <v>7200</v>
      </c>
      <c r="AK101">
        <v>7200</v>
      </c>
      <c r="AL101">
        <v>7200</v>
      </c>
      <c r="AM101">
        <v>7200</v>
      </c>
      <c r="AN101">
        <v>7200</v>
      </c>
      <c r="AO101">
        <v>7200</v>
      </c>
      <c r="AP101">
        <v>7200</v>
      </c>
      <c r="AQ101">
        <v>7200</v>
      </c>
      <c r="AR101">
        <v>7200</v>
      </c>
      <c r="AS101">
        <v>7200</v>
      </c>
      <c r="AT101">
        <v>7200</v>
      </c>
      <c r="AU101">
        <v>7200</v>
      </c>
      <c r="AV101">
        <v>7200</v>
      </c>
      <c r="AW101">
        <v>7200</v>
      </c>
      <c r="AX101">
        <v>7200</v>
      </c>
      <c r="AY101">
        <v>7200</v>
      </c>
      <c r="AZ101">
        <v>7200</v>
      </c>
      <c r="BA101">
        <v>7200</v>
      </c>
      <c r="BB101">
        <v>7200</v>
      </c>
      <c r="BC101">
        <v>7200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4CFF6-3556-4F0F-850E-06706B594B81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Illustration Calculator</vt:lpstr>
      <vt:lpstr>Plan Calculations</vt:lpstr>
      <vt:lpstr>Block of Business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O'Leary</dc:creator>
  <cp:lastModifiedBy>Dennis O'Leary</cp:lastModifiedBy>
  <dcterms:created xsi:type="dcterms:W3CDTF">2022-03-13T16:25:32Z</dcterms:created>
  <dcterms:modified xsi:type="dcterms:W3CDTF">2022-03-17T03:51:57Z</dcterms:modified>
</cp:coreProperties>
</file>